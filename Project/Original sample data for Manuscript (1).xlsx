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tsone project\2025-26\"/>
    </mc:Choice>
  </mc:AlternateContent>
  <xr:revisionPtr revIDLastSave="0" documentId="13_ncr:1_{36F71FF2-84B7-44B9-BDF5-20DFF9EAD42A}" xr6:coauthVersionLast="47" xr6:coauthVersionMax="47" xr10:uidLastSave="{00000000-0000-0000-0000-000000000000}"/>
  <bookViews>
    <workbookView xWindow="-108" yWindow="-108" windowWidth="23256" windowHeight="12456" xr2:uid="{67AEA674-DC7E-4594-82DF-CC21CDC1ABAD}"/>
  </bookViews>
  <sheets>
    <sheet name="Sheet2" sheetId="2" r:id="rId1"/>
    <sheet name="Sheet3" sheetId="3" r:id="rId2"/>
    <sheet name="Sheet4" sheetId="4" r:id="rId3"/>
    <sheet name="Sheet1" sheetId="5" r:id="rId4"/>
    <sheet name="Sheet5" sheetId="6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1" i="7" l="1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G20" i="7"/>
  <c r="F20" i="7"/>
  <c r="F19" i="7"/>
  <c r="F18" i="7"/>
  <c r="F17" i="7"/>
  <c r="F16" i="7"/>
  <c r="F15" i="7"/>
  <c r="F14" i="7"/>
  <c r="F13" i="7"/>
  <c r="F9" i="7"/>
  <c r="F8" i="7"/>
  <c r="F7" i="7"/>
  <c r="F6" i="7"/>
  <c r="F5" i="7"/>
  <c r="F4" i="7"/>
  <c r="F3" i="7"/>
  <c r="F56" i="6"/>
  <c r="F55" i="6"/>
  <c r="F54" i="6"/>
  <c r="F53" i="6"/>
  <c r="F52" i="6"/>
  <c r="F48" i="6"/>
  <c r="F47" i="6"/>
  <c r="F46" i="6"/>
  <c r="F45" i="6"/>
  <c r="F44" i="6"/>
  <c r="F43" i="6"/>
  <c r="F42" i="6"/>
  <c r="F41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CU53" i="5"/>
  <c r="CV53" i="5" s="1"/>
  <c r="CR53" i="5"/>
  <c r="CO53" i="5"/>
  <c r="CL53" i="5"/>
  <c r="CG53" i="5"/>
  <c r="CH53" i="5" s="1"/>
  <c r="CD53" i="5"/>
  <c r="BY53" i="5"/>
  <c r="BX53" i="5"/>
  <c r="BV53" i="5"/>
  <c r="BU53" i="5"/>
  <c r="BT53" i="5"/>
  <c r="BS53" i="5"/>
  <c r="BO53" i="5"/>
  <c r="CW53" i="5" s="1"/>
  <c r="BN53" i="5"/>
  <c r="BP53" i="5" s="1"/>
  <c r="BM53" i="5"/>
  <c r="BI53" i="5"/>
  <c r="BJ53" i="5" s="1"/>
  <c r="CZ53" i="5" s="1"/>
  <c r="BH53" i="5"/>
  <c r="BE53" i="5"/>
  <c r="BD53" i="5"/>
  <c r="BA53" i="5"/>
  <c r="AZ53" i="5"/>
  <c r="AY53" i="5"/>
  <c r="AV53" i="5"/>
  <c r="AU53" i="5"/>
  <c r="AQ53" i="5"/>
  <c r="AP53" i="5"/>
  <c r="AM53" i="5"/>
  <c r="AR53" i="5" s="1"/>
  <c r="AL53" i="5"/>
  <c r="AF53" i="5"/>
  <c r="AG53" i="5" s="1"/>
  <c r="CU52" i="5"/>
  <c r="CV52" i="5" s="1"/>
  <c r="CX52" i="5" s="1"/>
  <c r="CR52" i="5"/>
  <c r="CO52" i="5"/>
  <c r="CL52" i="5"/>
  <c r="CI52" i="5"/>
  <c r="CH52" i="5"/>
  <c r="CG52" i="5"/>
  <c r="CD52" i="5"/>
  <c r="BY52" i="5"/>
  <c r="BX52" i="5"/>
  <c r="BT52" i="5"/>
  <c r="BV52" i="5" s="1"/>
  <c r="BS52" i="5"/>
  <c r="BN52" i="5"/>
  <c r="BM52" i="5"/>
  <c r="BI52" i="5"/>
  <c r="BJ52" i="5" s="1"/>
  <c r="BH52" i="5"/>
  <c r="BE52" i="5"/>
  <c r="BD52" i="5"/>
  <c r="AZ52" i="5"/>
  <c r="BA52" i="5" s="1"/>
  <c r="AY52" i="5"/>
  <c r="AV52" i="5"/>
  <c r="AU52" i="5"/>
  <c r="AQ52" i="5"/>
  <c r="AP52" i="5"/>
  <c r="AM52" i="5"/>
  <c r="AR52" i="5" s="1"/>
  <c r="AL52" i="5"/>
  <c r="AF52" i="5"/>
  <c r="AG52" i="5" s="1"/>
  <c r="CU51" i="5"/>
  <c r="CV51" i="5" s="1"/>
  <c r="CR51" i="5"/>
  <c r="CO51" i="5"/>
  <c r="CL51" i="5"/>
  <c r="CG51" i="5"/>
  <c r="CD51" i="5"/>
  <c r="BY51" i="5"/>
  <c r="BX51" i="5"/>
  <c r="BT51" i="5"/>
  <c r="BU51" i="5" s="1"/>
  <c r="BS51" i="5"/>
  <c r="BN51" i="5"/>
  <c r="BP51" i="5" s="1"/>
  <c r="BM51" i="5"/>
  <c r="BJ51" i="5"/>
  <c r="BI51" i="5"/>
  <c r="BH51" i="5"/>
  <c r="BE51" i="5"/>
  <c r="BD51" i="5"/>
  <c r="AZ51" i="5"/>
  <c r="BA51" i="5" s="1"/>
  <c r="AY51" i="5"/>
  <c r="AV51" i="5"/>
  <c r="AU51" i="5"/>
  <c r="AQ51" i="5"/>
  <c r="AP51" i="5"/>
  <c r="AM51" i="5"/>
  <c r="AR51" i="5" s="1"/>
  <c r="AL51" i="5"/>
  <c r="AF51" i="5"/>
  <c r="AG51" i="5" s="1"/>
  <c r="CU50" i="5"/>
  <c r="CV50" i="5" s="1"/>
  <c r="CX50" i="5" s="1"/>
  <c r="CR50" i="5"/>
  <c r="CO50" i="5"/>
  <c r="CL50" i="5"/>
  <c r="CG50" i="5"/>
  <c r="CH50" i="5" s="1"/>
  <c r="CD50" i="5"/>
  <c r="BY50" i="5"/>
  <c r="BX50" i="5"/>
  <c r="BT50" i="5"/>
  <c r="BV50" i="5" s="1"/>
  <c r="BS50" i="5"/>
  <c r="BN50" i="5"/>
  <c r="BO50" i="5" s="1"/>
  <c r="BM50" i="5"/>
  <c r="BI50" i="5"/>
  <c r="BJ50" i="5" s="1"/>
  <c r="BH50" i="5"/>
  <c r="BE50" i="5"/>
  <c r="BD50" i="5"/>
  <c r="AZ50" i="5"/>
  <c r="BA50" i="5" s="1"/>
  <c r="AY50" i="5"/>
  <c r="AV50" i="5"/>
  <c r="AU50" i="5"/>
  <c r="AQ50" i="5"/>
  <c r="AP50" i="5"/>
  <c r="AM50" i="5"/>
  <c r="AL50" i="5"/>
  <c r="AG50" i="5"/>
  <c r="AF50" i="5"/>
  <c r="CU49" i="5"/>
  <c r="CV49" i="5" s="1"/>
  <c r="CX49" i="5" s="1"/>
  <c r="CR49" i="5"/>
  <c r="CO49" i="5"/>
  <c r="CL49" i="5"/>
  <c r="CG49" i="5"/>
  <c r="CI49" i="5" s="1"/>
  <c r="CD49" i="5"/>
  <c r="BY49" i="5"/>
  <c r="BX49" i="5"/>
  <c r="BT49" i="5"/>
  <c r="BU49" i="5" s="1"/>
  <c r="BS49" i="5"/>
  <c r="BN49" i="5"/>
  <c r="BP49" i="5" s="1"/>
  <c r="BM49" i="5"/>
  <c r="BI49" i="5"/>
  <c r="BJ49" i="5" s="1"/>
  <c r="BH49" i="5"/>
  <c r="BE49" i="5"/>
  <c r="BD49" i="5"/>
  <c r="AZ49" i="5"/>
  <c r="BA49" i="5" s="1"/>
  <c r="AY49" i="5"/>
  <c r="AV49" i="5"/>
  <c r="AU49" i="5"/>
  <c r="AQ49" i="5"/>
  <c r="AR49" i="5" s="1"/>
  <c r="AP49" i="5"/>
  <c r="AM49" i="5"/>
  <c r="AL49" i="5"/>
  <c r="AF49" i="5"/>
  <c r="AG49" i="5" s="1"/>
  <c r="CU48" i="5"/>
  <c r="CV48" i="5" s="1"/>
  <c r="CR48" i="5"/>
  <c r="CO48" i="5"/>
  <c r="CL48" i="5"/>
  <c r="CG48" i="5"/>
  <c r="CH48" i="5" s="1"/>
  <c r="CD48" i="5"/>
  <c r="BY48" i="5"/>
  <c r="BX48" i="5"/>
  <c r="BT48" i="5"/>
  <c r="BV48" i="5" s="1"/>
  <c r="BS48" i="5"/>
  <c r="BN48" i="5"/>
  <c r="BO48" i="5" s="1"/>
  <c r="BM48" i="5"/>
  <c r="BI48" i="5"/>
  <c r="BJ48" i="5" s="1"/>
  <c r="BH48" i="5"/>
  <c r="BE48" i="5"/>
  <c r="BD48" i="5"/>
  <c r="BA48" i="5"/>
  <c r="AZ48" i="5"/>
  <c r="AY48" i="5"/>
  <c r="AV48" i="5"/>
  <c r="AU48" i="5"/>
  <c r="AQ48" i="5"/>
  <c r="AP48" i="5"/>
  <c r="AM48" i="5"/>
  <c r="AR48" i="5" s="1"/>
  <c r="AL48" i="5"/>
  <c r="AF48" i="5"/>
  <c r="AG48" i="5" s="1"/>
  <c r="CU47" i="5"/>
  <c r="CV47" i="5" s="1"/>
  <c r="CX47" i="5" s="1"/>
  <c r="CR47" i="5"/>
  <c r="CO47" i="5"/>
  <c r="CL47" i="5"/>
  <c r="CG47" i="5"/>
  <c r="CD47" i="5"/>
  <c r="BY47" i="5"/>
  <c r="BX47" i="5"/>
  <c r="BT47" i="5"/>
  <c r="BU47" i="5" s="1"/>
  <c r="BS47" i="5"/>
  <c r="BN47" i="5"/>
  <c r="BP47" i="5" s="1"/>
  <c r="BM47" i="5"/>
  <c r="BI47" i="5"/>
  <c r="BJ47" i="5" s="1"/>
  <c r="BH47" i="5"/>
  <c r="BE47" i="5"/>
  <c r="BD47" i="5"/>
  <c r="AZ47" i="5"/>
  <c r="BA47" i="5" s="1"/>
  <c r="AY47" i="5"/>
  <c r="AV47" i="5"/>
  <c r="AU47" i="5"/>
  <c r="AQ47" i="5"/>
  <c r="AP47" i="5"/>
  <c r="AM47" i="5"/>
  <c r="AL47" i="5"/>
  <c r="AF47" i="5"/>
  <c r="AG47" i="5" s="1"/>
  <c r="CU46" i="5"/>
  <c r="CV46" i="5" s="1"/>
  <c r="CR46" i="5"/>
  <c r="CO46" i="5"/>
  <c r="CL46" i="5"/>
  <c r="CG46" i="5"/>
  <c r="CH46" i="5" s="1"/>
  <c r="CD46" i="5"/>
  <c r="BY46" i="5"/>
  <c r="BX46" i="5"/>
  <c r="BV46" i="5"/>
  <c r="BT46" i="5"/>
  <c r="BU46" i="5" s="1"/>
  <c r="BS46" i="5"/>
  <c r="BN46" i="5"/>
  <c r="BO46" i="5" s="1"/>
  <c r="CW46" i="5" s="1"/>
  <c r="CY46" i="5" s="1"/>
  <c r="BM46" i="5"/>
  <c r="BI46" i="5"/>
  <c r="BJ46" i="5" s="1"/>
  <c r="BH46" i="5"/>
  <c r="BE46" i="5"/>
  <c r="BD46" i="5"/>
  <c r="AZ46" i="5"/>
  <c r="BA46" i="5" s="1"/>
  <c r="CZ46" i="5" s="1"/>
  <c r="AY46" i="5"/>
  <c r="AV46" i="5"/>
  <c r="AU46" i="5"/>
  <c r="AR46" i="5"/>
  <c r="AQ46" i="5"/>
  <c r="AP46" i="5"/>
  <c r="AM46" i="5"/>
  <c r="AL46" i="5"/>
  <c r="AF46" i="5"/>
  <c r="AG46" i="5" s="1"/>
  <c r="CU45" i="5"/>
  <c r="CV45" i="5" s="1"/>
  <c r="CX45" i="5" s="1"/>
  <c r="CR45" i="5"/>
  <c r="CO45" i="5"/>
  <c r="CL45" i="5"/>
  <c r="CG45" i="5"/>
  <c r="CH45" i="5" s="1"/>
  <c r="CD45" i="5"/>
  <c r="BY45" i="5"/>
  <c r="BX45" i="5"/>
  <c r="BT45" i="5"/>
  <c r="BS45" i="5"/>
  <c r="BN45" i="5"/>
  <c r="BP45" i="5" s="1"/>
  <c r="BM45" i="5"/>
  <c r="BJ45" i="5"/>
  <c r="BI45" i="5"/>
  <c r="BH45" i="5"/>
  <c r="BE45" i="5"/>
  <c r="BD45" i="5"/>
  <c r="AZ45" i="5"/>
  <c r="BA45" i="5" s="1"/>
  <c r="AY45" i="5"/>
  <c r="AV45" i="5"/>
  <c r="AU45" i="5"/>
  <c r="AQ45" i="5"/>
  <c r="AP45" i="5"/>
  <c r="AM45" i="5"/>
  <c r="AL45" i="5"/>
  <c r="AF45" i="5"/>
  <c r="AG45" i="5" s="1"/>
  <c r="CU44" i="5"/>
  <c r="CV44" i="5" s="1"/>
  <c r="CR44" i="5"/>
  <c r="CO44" i="5"/>
  <c r="CL44" i="5"/>
  <c r="CG44" i="5"/>
  <c r="CH44" i="5" s="1"/>
  <c r="CD44" i="5"/>
  <c r="BY44" i="5"/>
  <c r="BX44" i="5"/>
  <c r="BT44" i="5"/>
  <c r="BV44" i="5" s="1"/>
  <c r="BS44" i="5"/>
  <c r="BN44" i="5"/>
  <c r="BO44" i="5" s="1"/>
  <c r="BM44" i="5"/>
  <c r="BI44" i="5"/>
  <c r="BJ44" i="5" s="1"/>
  <c r="BH44" i="5"/>
  <c r="BE44" i="5"/>
  <c r="BD44" i="5"/>
  <c r="AZ44" i="5"/>
  <c r="BA44" i="5" s="1"/>
  <c r="AY44" i="5"/>
  <c r="AV44" i="5"/>
  <c r="AU44" i="5"/>
  <c r="AR44" i="5"/>
  <c r="AQ44" i="5"/>
  <c r="AP44" i="5"/>
  <c r="AM44" i="5"/>
  <c r="AL44" i="5"/>
  <c r="AF44" i="5"/>
  <c r="AG44" i="5" s="1"/>
  <c r="CU43" i="5"/>
  <c r="CV43" i="5" s="1"/>
  <c r="CR43" i="5"/>
  <c r="CO43" i="5"/>
  <c r="CL43" i="5"/>
  <c r="CG43" i="5"/>
  <c r="CI43" i="5" s="1"/>
  <c r="CD43" i="5"/>
  <c r="BY43" i="5"/>
  <c r="BX43" i="5"/>
  <c r="BT43" i="5"/>
  <c r="BU43" i="5" s="1"/>
  <c r="BS43" i="5"/>
  <c r="BN43" i="5"/>
  <c r="BM43" i="5"/>
  <c r="BJ43" i="5"/>
  <c r="BI43" i="5"/>
  <c r="BH43" i="5"/>
  <c r="BE43" i="5"/>
  <c r="BD43" i="5"/>
  <c r="AZ43" i="5"/>
  <c r="BA43" i="5" s="1"/>
  <c r="AY43" i="5"/>
  <c r="AV43" i="5"/>
  <c r="AU43" i="5"/>
  <c r="AQ43" i="5"/>
  <c r="AP43" i="5"/>
  <c r="AM43" i="5"/>
  <c r="AL43" i="5"/>
  <c r="AF43" i="5"/>
  <c r="AG43" i="5" s="1"/>
  <c r="CU42" i="5"/>
  <c r="CV42" i="5" s="1"/>
  <c r="CX42" i="5" s="1"/>
  <c r="CR42" i="5"/>
  <c r="CO42" i="5"/>
  <c r="CL42" i="5"/>
  <c r="CG42" i="5"/>
  <c r="CI42" i="5" s="1"/>
  <c r="CD42" i="5"/>
  <c r="BY42" i="5"/>
  <c r="BX42" i="5"/>
  <c r="CY42" i="5" s="1"/>
  <c r="BT42" i="5"/>
  <c r="BU42" i="5" s="1"/>
  <c r="BS42" i="5"/>
  <c r="BN42" i="5"/>
  <c r="BP42" i="5" s="1"/>
  <c r="BM42" i="5"/>
  <c r="BI42" i="5"/>
  <c r="BJ42" i="5" s="1"/>
  <c r="BH42" i="5"/>
  <c r="BE42" i="5"/>
  <c r="BD42" i="5"/>
  <c r="AZ42" i="5"/>
  <c r="BA42" i="5" s="1"/>
  <c r="AY42" i="5"/>
  <c r="AV42" i="5"/>
  <c r="AU42" i="5"/>
  <c r="AQ42" i="5"/>
  <c r="AP42" i="5"/>
  <c r="AM42" i="5"/>
  <c r="AL42" i="5"/>
  <c r="AF42" i="5"/>
  <c r="AG42" i="5" s="1"/>
  <c r="CU41" i="5"/>
  <c r="CV41" i="5" s="1"/>
  <c r="CX41" i="5" s="1"/>
  <c r="CR41" i="5"/>
  <c r="CO41" i="5"/>
  <c r="CL41" i="5"/>
  <c r="CG41" i="5"/>
  <c r="CD41" i="5"/>
  <c r="BY41" i="5"/>
  <c r="BX41" i="5"/>
  <c r="BU41" i="5"/>
  <c r="BT41" i="5"/>
  <c r="BV41" i="5" s="1"/>
  <c r="BS41" i="5"/>
  <c r="BP41" i="5"/>
  <c r="BO41" i="5"/>
  <c r="BN41" i="5"/>
  <c r="BM41" i="5"/>
  <c r="BI41" i="5"/>
  <c r="BJ41" i="5" s="1"/>
  <c r="BH41" i="5"/>
  <c r="BE41" i="5"/>
  <c r="BD41" i="5"/>
  <c r="AZ41" i="5"/>
  <c r="BA41" i="5" s="1"/>
  <c r="AY41" i="5"/>
  <c r="AV41" i="5"/>
  <c r="AU41" i="5"/>
  <c r="AQ41" i="5"/>
  <c r="AP41" i="5"/>
  <c r="AM41" i="5"/>
  <c r="AL41" i="5"/>
  <c r="AG41" i="5"/>
  <c r="AF41" i="5"/>
  <c r="CU40" i="5"/>
  <c r="CV40" i="5" s="1"/>
  <c r="CX40" i="5" s="1"/>
  <c r="CR40" i="5"/>
  <c r="CO40" i="5"/>
  <c r="CL40" i="5"/>
  <c r="CG40" i="5"/>
  <c r="CI40" i="5" s="1"/>
  <c r="CD40" i="5"/>
  <c r="BY40" i="5"/>
  <c r="BX40" i="5"/>
  <c r="BV40" i="5"/>
  <c r="BT40" i="5"/>
  <c r="BU40" i="5" s="1"/>
  <c r="BS40" i="5"/>
  <c r="BN40" i="5"/>
  <c r="BP40" i="5" s="1"/>
  <c r="BM40" i="5"/>
  <c r="BI40" i="5"/>
  <c r="BJ40" i="5" s="1"/>
  <c r="BH40" i="5"/>
  <c r="BE40" i="5"/>
  <c r="BD40" i="5"/>
  <c r="AZ40" i="5"/>
  <c r="BA40" i="5" s="1"/>
  <c r="AY40" i="5"/>
  <c r="AV40" i="5"/>
  <c r="AU40" i="5"/>
  <c r="AQ40" i="5"/>
  <c r="AP40" i="5"/>
  <c r="AM40" i="5"/>
  <c r="AR40" i="5" s="1"/>
  <c r="AL40" i="5"/>
  <c r="AF40" i="5"/>
  <c r="AG40" i="5" s="1"/>
  <c r="CU39" i="5"/>
  <c r="CV39" i="5" s="1"/>
  <c r="CX39" i="5" s="1"/>
  <c r="CR39" i="5"/>
  <c r="CO39" i="5"/>
  <c r="CL39" i="5"/>
  <c r="CG39" i="5"/>
  <c r="CI39" i="5" s="1"/>
  <c r="CD39" i="5"/>
  <c r="BY39" i="5"/>
  <c r="BX39" i="5"/>
  <c r="BV39" i="5"/>
  <c r="BU39" i="5"/>
  <c r="BT39" i="5"/>
  <c r="BS39" i="5"/>
  <c r="BN39" i="5"/>
  <c r="BP39" i="5" s="1"/>
  <c r="BM39" i="5"/>
  <c r="BI39" i="5"/>
  <c r="BJ39" i="5" s="1"/>
  <c r="BH39" i="5"/>
  <c r="BE39" i="5"/>
  <c r="BD39" i="5"/>
  <c r="AZ39" i="5"/>
  <c r="BA39" i="5" s="1"/>
  <c r="AY39" i="5"/>
  <c r="AV39" i="5"/>
  <c r="AU39" i="5"/>
  <c r="AQ39" i="5"/>
  <c r="AP39" i="5"/>
  <c r="AM39" i="5"/>
  <c r="AL39" i="5"/>
  <c r="AF39" i="5"/>
  <c r="AG39" i="5" s="1"/>
  <c r="CU38" i="5"/>
  <c r="CV38" i="5" s="1"/>
  <c r="CX38" i="5" s="1"/>
  <c r="CR38" i="5"/>
  <c r="CO38" i="5"/>
  <c r="CL38" i="5"/>
  <c r="CG38" i="5"/>
  <c r="CI38" i="5" s="1"/>
  <c r="CD38" i="5"/>
  <c r="BY38" i="5"/>
  <c r="BX38" i="5"/>
  <c r="BT38" i="5"/>
  <c r="BV38" i="5" s="1"/>
  <c r="BS38" i="5"/>
  <c r="BN38" i="5"/>
  <c r="BP38" i="5" s="1"/>
  <c r="BM38" i="5"/>
  <c r="BI38" i="5"/>
  <c r="BJ38" i="5" s="1"/>
  <c r="BH38" i="5"/>
  <c r="BE38" i="5"/>
  <c r="BD38" i="5"/>
  <c r="AZ38" i="5"/>
  <c r="BA38" i="5" s="1"/>
  <c r="AY38" i="5"/>
  <c r="AV38" i="5"/>
  <c r="AU38" i="5"/>
  <c r="AQ38" i="5"/>
  <c r="AP38" i="5"/>
  <c r="AM38" i="5"/>
  <c r="AL38" i="5"/>
  <c r="AF38" i="5"/>
  <c r="AG38" i="5" s="1"/>
  <c r="CU37" i="5"/>
  <c r="CV37" i="5" s="1"/>
  <c r="CX37" i="5" s="1"/>
  <c r="CR37" i="5"/>
  <c r="CO37" i="5"/>
  <c r="CL37" i="5"/>
  <c r="CG37" i="5"/>
  <c r="CH37" i="5" s="1"/>
  <c r="CD37" i="5"/>
  <c r="BY37" i="5"/>
  <c r="BX37" i="5"/>
  <c r="CY37" i="5" s="1"/>
  <c r="BT37" i="5"/>
  <c r="BU37" i="5" s="1"/>
  <c r="BS37" i="5"/>
  <c r="BN37" i="5"/>
  <c r="BP37" i="5" s="1"/>
  <c r="BM37" i="5"/>
  <c r="BI37" i="5"/>
  <c r="BJ37" i="5" s="1"/>
  <c r="BH37" i="5"/>
  <c r="BE37" i="5"/>
  <c r="BD37" i="5"/>
  <c r="AZ37" i="5"/>
  <c r="BA37" i="5" s="1"/>
  <c r="CZ37" i="5" s="1"/>
  <c r="AY37" i="5"/>
  <c r="AV37" i="5"/>
  <c r="AU37" i="5"/>
  <c r="AQ37" i="5"/>
  <c r="AP37" i="5"/>
  <c r="AM37" i="5"/>
  <c r="AR37" i="5" s="1"/>
  <c r="AL37" i="5"/>
  <c r="AF37" i="5"/>
  <c r="AG37" i="5" s="1"/>
  <c r="CU36" i="5"/>
  <c r="CV36" i="5" s="1"/>
  <c r="CR36" i="5"/>
  <c r="CO36" i="5"/>
  <c r="CL36" i="5"/>
  <c r="CG36" i="5"/>
  <c r="CH36" i="5" s="1"/>
  <c r="CD36" i="5"/>
  <c r="BY36" i="5"/>
  <c r="BX36" i="5"/>
  <c r="BV36" i="5"/>
  <c r="BT36" i="5"/>
  <c r="BU36" i="5" s="1"/>
  <c r="BS36" i="5"/>
  <c r="BP36" i="5"/>
  <c r="BN36" i="5"/>
  <c r="BO36" i="5" s="1"/>
  <c r="BM36" i="5"/>
  <c r="BI36" i="5"/>
  <c r="BJ36" i="5" s="1"/>
  <c r="BH36" i="5"/>
  <c r="BE36" i="5"/>
  <c r="BD36" i="5"/>
  <c r="BA36" i="5"/>
  <c r="AZ36" i="5"/>
  <c r="AY36" i="5"/>
  <c r="AV36" i="5"/>
  <c r="AU36" i="5"/>
  <c r="AQ36" i="5"/>
  <c r="AP36" i="5"/>
  <c r="AM36" i="5"/>
  <c r="AR36" i="5" s="1"/>
  <c r="AL36" i="5"/>
  <c r="AF36" i="5"/>
  <c r="AG36" i="5" s="1"/>
  <c r="CU35" i="5"/>
  <c r="CV35" i="5" s="1"/>
  <c r="CX35" i="5" s="1"/>
  <c r="CR35" i="5"/>
  <c r="CO35" i="5"/>
  <c r="CL35" i="5"/>
  <c r="CG35" i="5"/>
  <c r="CI35" i="5" s="1"/>
  <c r="CD35" i="5"/>
  <c r="BY35" i="5"/>
  <c r="BX35" i="5"/>
  <c r="BT35" i="5"/>
  <c r="BU35" i="5" s="1"/>
  <c r="BS35" i="5"/>
  <c r="BP35" i="5"/>
  <c r="BN35" i="5"/>
  <c r="BO35" i="5" s="1"/>
  <c r="BM35" i="5"/>
  <c r="BI35" i="5"/>
  <c r="BJ35" i="5" s="1"/>
  <c r="BH35" i="5"/>
  <c r="BE35" i="5"/>
  <c r="BD35" i="5"/>
  <c r="AZ35" i="5"/>
  <c r="BA35" i="5" s="1"/>
  <c r="AY35" i="5"/>
  <c r="AV35" i="5"/>
  <c r="AU35" i="5"/>
  <c r="AQ35" i="5"/>
  <c r="AP35" i="5"/>
  <c r="AM35" i="5"/>
  <c r="AL35" i="5"/>
  <c r="AF35" i="5"/>
  <c r="AG35" i="5" s="1"/>
  <c r="CU34" i="5"/>
  <c r="CV34" i="5" s="1"/>
  <c r="CR34" i="5"/>
  <c r="CO34" i="5"/>
  <c r="CL34" i="5"/>
  <c r="CG34" i="5"/>
  <c r="CH34" i="5" s="1"/>
  <c r="CD34" i="5"/>
  <c r="BY34" i="5"/>
  <c r="BX34" i="5"/>
  <c r="BV34" i="5"/>
  <c r="BU34" i="5"/>
  <c r="BT34" i="5"/>
  <c r="BS34" i="5"/>
  <c r="BN34" i="5"/>
  <c r="BO34" i="5" s="1"/>
  <c r="CW34" i="5" s="1"/>
  <c r="CY34" i="5" s="1"/>
  <c r="BM34" i="5"/>
  <c r="BI34" i="5"/>
  <c r="BJ34" i="5" s="1"/>
  <c r="BH34" i="5"/>
  <c r="BE34" i="5"/>
  <c r="BD34" i="5"/>
  <c r="AZ34" i="5"/>
  <c r="BA34" i="5" s="1"/>
  <c r="AY34" i="5"/>
  <c r="AV34" i="5"/>
  <c r="AU34" i="5"/>
  <c r="AQ34" i="5"/>
  <c r="AP34" i="5"/>
  <c r="AM34" i="5"/>
  <c r="AR34" i="5" s="1"/>
  <c r="AL34" i="5"/>
  <c r="AF34" i="5"/>
  <c r="AG34" i="5" s="1"/>
  <c r="CU33" i="5"/>
  <c r="CV33" i="5" s="1"/>
  <c r="CX33" i="5" s="1"/>
  <c r="CR33" i="5"/>
  <c r="CO33" i="5"/>
  <c r="CL33" i="5"/>
  <c r="CG33" i="5"/>
  <c r="CH33" i="5" s="1"/>
  <c r="CD33" i="5"/>
  <c r="BY33" i="5"/>
  <c r="BX33" i="5"/>
  <c r="BV33" i="5"/>
  <c r="BT33" i="5"/>
  <c r="BU33" i="5" s="1"/>
  <c r="BS33" i="5"/>
  <c r="BN33" i="5"/>
  <c r="BO33" i="5" s="1"/>
  <c r="CW33" i="5" s="1"/>
  <c r="CY33" i="5" s="1"/>
  <c r="BM33" i="5"/>
  <c r="BI33" i="5"/>
  <c r="BJ33" i="5" s="1"/>
  <c r="BH33" i="5"/>
  <c r="BE33" i="5"/>
  <c r="BD33" i="5"/>
  <c r="AZ33" i="5"/>
  <c r="BA33" i="5" s="1"/>
  <c r="AY33" i="5"/>
  <c r="AV33" i="5"/>
  <c r="AU33" i="5"/>
  <c r="AQ33" i="5"/>
  <c r="AP33" i="5"/>
  <c r="AM33" i="5"/>
  <c r="AR33" i="5" s="1"/>
  <c r="AL33" i="5"/>
  <c r="AF33" i="5"/>
  <c r="AG33" i="5" s="1"/>
  <c r="CU32" i="5"/>
  <c r="CV32" i="5" s="1"/>
  <c r="CX32" i="5" s="1"/>
  <c r="CR32" i="5"/>
  <c r="CO32" i="5"/>
  <c r="CL32" i="5"/>
  <c r="CG32" i="5"/>
  <c r="CH32" i="5" s="1"/>
  <c r="CD32" i="5"/>
  <c r="BY32" i="5"/>
  <c r="BX32" i="5"/>
  <c r="BV32" i="5"/>
  <c r="BT32" i="5"/>
  <c r="BU32" i="5" s="1"/>
  <c r="BS32" i="5"/>
  <c r="BN32" i="5"/>
  <c r="BO32" i="5" s="1"/>
  <c r="CW32" i="5" s="1"/>
  <c r="CY32" i="5" s="1"/>
  <c r="BM32" i="5"/>
  <c r="BI32" i="5"/>
  <c r="BJ32" i="5" s="1"/>
  <c r="BH32" i="5"/>
  <c r="BE32" i="5"/>
  <c r="BD32" i="5"/>
  <c r="AZ32" i="5"/>
  <c r="BA32" i="5" s="1"/>
  <c r="AY32" i="5"/>
  <c r="AV32" i="5"/>
  <c r="AU32" i="5"/>
  <c r="AQ32" i="5"/>
  <c r="AR32" i="5" s="1"/>
  <c r="AP32" i="5"/>
  <c r="AM32" i="5"/>
  <c r="AL32" i="5"/>
  <c r="AG32" i="5"/>
  <c r="AF32" i="5"/>
  <c r="CU31" i="5"/>
  <c r="CV31" i="5" s="1"/>
  <c r="CX31" i="5" s="1"/>
  <c r="CR31" i="5"/>
  <c r="CO31" i="5"/>
  <c r="CL31" i="5"/>
  <c r="CG31" i="5"/>
  <c r="CI31" i="5" s="1"/>
  <c r="CD31" i="5"/>
  <c r="BY31" i="5"/>
  <c r="BX31" i="5"/>
  <c r="BT31" i="5"/>
  <c r="BU31" i="5" s="1"/>
  <c r="BS31" i="5"/>
  <c r="BN31" i="5"/>
  <c r="BP31" i="5" s="1"/>
  <c r="BM31" i="5"/>
  <c r="BI31" i="5"/>
  <c r="BJ31" i="5" s="1"/>
  <c r="BH31" i="5"/>
  <c r="BE31" i="5"/>
  <c r="BD31" i="5"/>
  <c r="AZ31" i="5"/>
  <c r="BA31" i="5" s="1"/>
  <c r="AY31" i="5"/>
  <c r="AV31" i="5"/>
  <c r="AU31" i="5"/>
  <c r="AQ31" i="5"/>
  <c r="AR31" i="5" s="1"/>
  <c r="AP31" i="5"/>
  <c r="AM31" i="5"/>
  <c r="AL31" i="5"/>
  <c r="AF31" i="5"/>
  <c r="AG31" i="5" s="1"/>
  <c r="CU30" i="5"/>
  <c r="CV30" i="5" s="1"/>
  <c r="CR30" i="5"/>
  <c r="CO30" i="5"/>
  <c r="CL30" i="5"/>
  <c r="CG30" i="5"/>
  <c r="CH30" i="5" s="1"/>
  <c r="CD30" i="5"/>
  <c r="BY30" i="5"/>
  <c r="BX30" i="5"/>
  <c r="BT30" i="5"/>
  <c r="BV30" i="5" s="1"/>
  <c r="BS30" i="5"/>
  <c r="BN30" i="5"/>
  <c r="BM30" i="5"/>
  <c r="BI30" i="5"/>
  <c r="BJ30" i="5" s="1"/>
  <c r="BH30" i="5"/>
  <c r="BE30" i="5"/>
  <c r="BD30" i="5"/>
  <c r="AZ30" i="5"/>
  <c r="BA30" i="5" s="1"/>
  <c r="AY30" i="5"/>
  <c r="AV30" i="5"/>
  <c r="AU30" i="5"/>
  <c r="AQ30" i="5"/>
  <c r="AR30" i="5" s="1"/>
  <c r="AP30" i="5"/>
  <c r="AM30" i="5"/>
  <c r="AL30" i="5"/>
  <c r="AF30" i="5"/>
  <c r="AG30" i="5" s="1"/>
  <c r="CU29" i="5"/>
  <c r="CV29" i="5" s="1"/>
  <c r="CX29" i="5" s="1"/>
  <c r="CR29" i="5"/>
  <c r="CO29" i="5"/>
  <c r="CL29" i="5"/>
  <c r="CI29" i="5"/>
  <c r="CG29" i="5"/>
  <c r="CH29" i="5" s="1"/>
  <c r="CD29" i="5"/>
  <c r="BY29" i="5"/>
  <c r="BX29" i="5"/>
  <c r="BT29" i="5"/>
  <c r="BU29" i="5" s="1"/>
  <c r="BS29" i="5"/>
  <c r="BP29" i="5"/>
  <c r="BN29" i="5"/>
  <c r="BO29" i="5" s="1"/>
  <c r="CW29" i="5" s="1"/>
  <c r="CY29" i="5" s="1"/>
  <c r="BM29" i="5"/>
  <c r="BI29" i="5"/>
  <c r="BJ29" i="5" s="1"/>
  <c r="BH29" i="5"/>
  <c r="BE29" i="5"/>
  <c r="BD29" i="5"/>
  <c r="AZ29" i="5"/>
  <c r="BA29" i="5" s="1"/>
  <c r="AY29" i="5"/>
  <c r="AV29" i="5"/>
  <c r="AU29" i="5"/>
  <c r="AR29" i="5"/>
  <c r="AQ29" i="5"/>
  <c r="AP29" i="5"/>
  <c r="AM29" i="5"/>
  <c r="AL29" i="5"/>
  <c r="AF29" i="5"/>
  <c r="AG29" i="5" s="1"/>
  <c r="CU28" i="5"/>
  <c r="CV28" i="5" s="1"/>
  <c r="CR28" i="5"/>
  <c r="CO28" i="5"/>
  <c r="CL28" i="5"/>
  <c r="CG28" i="5"/>
  <c r="CH28" i="5" s="1"/>
  <c r="CD28" i="5"/>
  <c r="BY28" i="5"/>
  <c r="BX28" i="5"/>
  <c r="BT28" i="5"/>
  <c r="BV28" i="5" s="1"/>
  <c r="BS28" i="5"/>
  <c r="BP28" i="5"/>
  <c r="BN28" i="5"/>
  <c r="BO28" i="5" s="1"/>
  <c r="BM28" i="5"/>
  <c r="BI28" i="5"/>
  <c r="BJ28" i="5" s="1"/>
  <c r="BH28" i="5"/>
  <c r="BE28" i="5"/>
  <c r="BD28" i="5"/>
  <c r="AZ28" i="5"/>
  <c r="BA28" i="5" s="1"/>
  <c r="AY28" i="5"/>
  <c r="AV28" i="5"/>
  <c r="AU28" i="5"/>
  <c r="AR28" i="5"/>
  <c r="AQ28" i="5"/>
  <c r="AP28" i="5"/>
  <c r="AM28" i="5"/>
  <c r="AL28" i="5"/>
  <c r="AF28" i="5"/>
  <c r="AG28" i="5" s="1"/>
  <c r="CU27" i="5"/>
  <c r="CV27" i="5" s="1"/>
  <c r="CR27" i="5"/>
  <c r="CO27" i="5"/>
  <c r="CL27" i="5"/>
  <c r="CG27" i="5"/>
  <c r="CH27" i="5" s="1"/>
  <c r="CD27" i="5"/>
  <c r="BY27" i="5"/>
  <c r="BX27" i="5"/>
  <c r="BT27" i="5"/>
  <c r="BU27" i="5" s="1"/>
  <c r="BS27" i="5"/>
  <c r="BN27" i="5"/>
  <c r="BO27" i="5" s="1"/>
  <c r="BM27" i="5"/>
  <c r="BJ27" i="5"/>
  <c r="BI27" i="5"/>
  <c r="BH27" i="5"/>
  <c r="BE27" i="5"/>
  <c r="BD27" i="5"/>
  <c r="AZ27" i="5"/>
  <c r="BA27" i="5" s="1"/>
  <c r="AY27" i="5"/>
  <c r="AV27" i="5"/>
  <c r="AU27" i="5"/>
  <c r="AQ27" i="5"/>
  <c r="AP27" i="5"/>
  <c r="AM27" i="5"/>
  <c r="AR27" i="5" s="1"/>
  <c r="AL27" i="5"/>
  <c r="AF27" i="5"/>
  <c r="AG27" i="5" s="1"/>
  <c r="CU26" i="5"/>
  <c r="CV26" i="5" s="1"/>
  <c r="CX26" i="5" s="1"/>
  <c r="CR26" i="5"/>
  <c r="CO26" i="5"/>
  <c r="CL26" i="5"/>
  <c r="CG26" i="5"/>
  <c r="CH26" i="5" s="1"/>
  <c r="CD26" i="5"/>
  <c r="BY26" i="5"/>
  <c r="BX26" i="5"/>
  <c r="BV26" i="5"/>
  <c r="BT26" i="5"/>
  <c r="BU26" i="5" s="1"/>
  <c r="BS26" i="5"/>
  <c r="BN26" i="5"/>
  <c r="BO26" i="5" s="1"/>
  <c r="CW26" i="5" s="1"/>
  <c r="CY26" i="5" s="1"/>
  <c r="BM26" i="5"/>
  <c r="BI26" i="5"/>
  <c r="BJ26" i="5" s="1"/>
  <c r="BH26" i="5"/>
  <c r="BE26" i="5"/>
  <c r="BD26" i="5"/>
  <c r="AZ26" i="5"/>
  <c r="BA26" i="5" s="1"/>
  <c r="AY26" i="5"/>
  <c r="AV26" i="5"/>
  <c r="AU26" i="5"/>
  <c r="AR26" i="5"/>
  <c r="AQ26" i="5"/>
  <c r="AP26" i="5"/>
  <c r="AM26" i="5"/>
  <c r="AL26" i="5"/>
  <c r="AF26" i="5"/>
  <c r="AG26" i="5" s="1"/>
  <c r="CU25" i="5"/>
  <c r="CV25" i="5" s="1"/>
  <c r="CR25" i="5"/>
  <c r="CO25" i="5"/>
  <c r="CL25" i="5"/>
  <c r="CG25" i="5"/>
  <c r="CH25" i="5" s="1"/>
  <c r="CD25" i="5"/>
  <c r="BY25" i="5"/>
  <c r="BX25" i="5"/>
  <c r="BV25" i="5"/>
  <c r="BT25" i="5"/>
  <c r="BU25" i="5" s="1"/>
  <c r="BS25" i="5"/>
  <c r="BN25" i="5"/>
  <c r="BP25" i="5" s="1"/>
  <c r="BM25" i="5"/>
  <c r="BI25" i="5"/>
  <c r="BJ25" i="5" s="1"/>
  <c r="BH25" i="5"/>
  <c r="BE25" i="5"/>
  <c r="BD25" i="5"/>
  <c r="AZ25" i="5"/>
  <c r="BA25" i="5" s="1"/>
  <c r="AY25" i="5"/>
  <c r="AV25" i="5"/>
  <c r="AU25" i="5"/>
  <c r="AQ25" i="5"/>
  <c r="AP25" i="5"/>
  <c r="AM25" i="5"/>
  <c r="AR25" i="5" s="1"/>
  <c r="AL25" i="5"/>
  <c r="AF25" i="5"/>
  <c r="AG25" i="5" s="1"/>
  <c r="CU24" i="5"/>
  <c r="CV24" i="5" s="1"/>
  <c r="CX24" i="5" s="1"/>
  <c r="CR24" i="5"/>
  <c r="CO24" i="5"/>
  <c r="CL24" i="5"/>
  <c r="CG24" i="5"/>
  <c r="CH24" i="5" s="1"/>
  <c r="CD24" i="5"/>
  <c r="BY24" i="5"/>
  <c r="BX24" i="5"/>
  <c r="BT24" i="5"/>
  <c r="BU24" i="5" s="1"/>
  <c r="BS24" i="5"/>
  <c r="BN24" i="5"/>
  <c r="BO24" i="5" s="1"/>
  <c r="BM24" i="5"/>
  <c r="BJ24" i="5"/>
  <c r="BI24" i="5"/>
  <c r="BH24" i="5"/>
  <c r="BE24" i="5"/>
  <c r="BD24" i="5"/>
  <c r="AZ24" i="5"/>
  <c r="BA24" i="5" s="1"/>
  <c r="AY24" i="5"/>
  <c r="AV24" i="5"/>
  <c r="AU24" i="5"/>
  <c r="AQ24" i="5"/>
  <c r="AP24" i="5"/>
  <c r="AM24" i="5"/>
  <c r="AR24" i="5" s="1"/>
  <c r="AL24" i="5"/>
  <c r="AF24" i="5"/>
  <c r="AG24" i="5" s="1"/>
  <c r="CU23" i="5"/>
  <c r="CV23" i="5" s="1"/>
  <c r="CR23" i="5"/>
  <c r="CO23" i="5"/>
  <c r="CL23" i="5"/>
  <c r="CG23" i="5"/>
  <c r="CI23" i="5" s="1"/>
  <c r="CD23" i="5"/>
  <c r="BY23" i="5"/>
  <c r="BX23" i="5"/>
  <c r="BT23" i="5"/>
  <c r="BU23" i="5" s="1"/>
  <c r="BS23" i="5"/>
  <c r="BN23" i="5"/>
  <c r="BP23" i="5" s="1"/>
  <c r="BM23" i="5"/>
  <c r="BJ23" i="5"/>
  <c r="BI23" i="5"/>
  <c r="BH23" i="5"/>
  <c r="BE23" i="5"/>
  <c r="BD23" i="5"/>
  <c r="AZ23" i="5"/>
  <c r="BA23" i="5" s="1"/>
  <c r="AY23" i="5"/>
  <c r="AV23" i="5"/>
  <c r="AU23" i="5"/>
  <c r="AQ23" i="5"/>
  <c r="AP23" i="5"/>
  <c r="AM23" i="5"/>
  <c r="AR23" i="5" s="1"/>
  <c r="AL23" i="5"/>
  <c r="AF23" i="5"/>
  <c r="AG23" i="5" s="1"/>
  <c r="CU22" i="5"/>
  <c r="CV22" i="5" s="1"/>
  <c r="CX22" i="5" s="1"/>
  <c r="CR22" i="5"/>
  <c r="CO22" i="5"/>
  <c r="CL22" i="5"/>
  <c r="CI22" i="5"/>
  <c r="CG22" i="5"/>
  <c r="CH22" i="5" s="1"/>
  <c r="CD22" i="5"/>
  <c r="BY22" i="5"/>
  <c r="BX22" i="5"/>
  <c r="BT22" i="5"/>
  <c r="BV22" i="5" s="1"/>
  <c r="BS22" i="5"/>
  <c r="BP22" i="5"/>
  <c r="BN22" i="5"/>
  <c r="BO22" i="5" s="1"/>
  <c r="BM22" i="5"/>
  <c r="BJ22" i="5"/>
  <c r="BI22" i="5"/>
  <c r="BH22" i="5"/>
  <c r="BE22" i="5"/>
  <c r="BD22" i="5"/>
  <c r="AZ22" i="5"/>
  <c r="BA22" i="5" s="1"/>
  <c r="AY22" i="5"/>
  <c r="AV22" i="5"/>
  <c r="AU22" i="5"/>
  <c r="AQ22" i="5"/>
  <c r="AP22" i="5"/>
  <c r="AM22" i="5"/>
  <c r="AR22" i="5" s="1"/>
  <c r="AL22" i="5"/>
  <c r="AF22" i="5"/>
  <c r="AG22" i="5" s="1"/>
  <c r="CU21" i="5"/>
  <c r="CV21" i="5" s="1"/>
  <c r="CX21" i="5" s="1"/>
  <c r="CR21" i="5"/>
  <c r="CO21" i="5"/>
  <c r="CL21" i="5"/>
  <c r="CI21" i="5"/>
  <c r="CG21" i="5"/>
  <c r="CH21" i="5" s="1"/>
  <c r="CD21" i="5"/>
  <c r="BY21" i="5"/>
  <c r="BX21" i="5"/>
  <c r="BT21" i="5"/>
  <c r="BU21" i="5" s="1"/>
  <c r="BS21" i="5"/>
  <c r="BP21" i="5"/>
  <c r="BN21" i="5"/>
  <c r="BO21" i="5" s="1"/>
  <c r="BM21" i="5"/>
  <c r="BI21" i="5"/>
  <c r="BJ21" i="5" s="1"/>
  <c r="BH21" i="5"/>
  <c r="BE21" i="5"/>
  <c r="BD21" i="5"/>
  <c r="AZ21" i="5"/>
  <c r="BA21" i="5" s="1"/>
  <c r="CZ21" i="5" s="1"/>
  <c r="AY21" i="5"/>
  <c r="AV21" i="5"/>
  <c r="AU21" i="5"/>
  <c r="AR21" i="5"/>
  <c r="AQ21" i="5"/>
  <c r="AP21" i="5"/>
  <c r="AM21" i="5"/>
  <c r="AL21" i="5"/>
  <c r="AF21" i="5"/>
  <c r="AG21" i="5" s="1"/>
  <c r="CU20" i="5"/>
  <c r="CV20" i="5" s="1"/>
  <c r="CX20" i="5" s="1"/>
  <c r="CR20" i="5"/>
  <c r="CO20" i="5"/>
  <c r="CL20" i="5"/>
  <c r="CG20" i="5"/>
  <c r="CH20" i="5" s="1"/>
  <c r="CD20" i="5"/>
  <c r="BY20" i="5"/>
  <c r="BX20" i="5"/>
  <c r="BT20" i="5"/>
  <c r="BU20" i="5" s="1"/>
  <c r="CW20" i="5" s="1"/>
  <c r="CY20" i="5" s="1"/>
  <c r="BS20" i="5"/>
  <c r="BN20" i="5"/>
  <c r="BO20" i="5" s="1"/>
  <c r="BM20" i="5"/>
  <c r="BI20" i="5"/>
  <c r="BJ20" i="5" s="1"/>
  <c r="BH20" i="5"/>
  <c r="BE20" i="5"/>
  <c r="BD20" i="5"/>
  <c r="AZ20" i="5"/>
  <c r="BA20" i="5" s="1"/>
  <c r="AY20" i="5"/>
  <c r="AV20" i="5"/>
  <c r="AU20" i="5"/>
  <c r="AQ20" i="5"/>
  <c r="AR20" i="5" s="1"/>
  <c r="AP20" i="5"/>
  <c r="AM20" i="5"/>
  <c r="AL20" i="5"/>
  <c r="AF20" i="5"/>
  <c r="AG20" i="5" s="1"/>
  <c r="CU19" i="5"/>
  <c r="CV19" i="5" s="1"/>
  <c r="CX19" i="5" s="1"/>
  <c r="CR19" i="5"/>
  <c r="CO19" i="5"/>
  <c r="CL19" i="5"/>
  <c r="CG19" i="5"/>
  <c r="CI19" i="5" s="1"/>
  <c r="CD19" i="5"/>
  <c r="BY19" i="5"/>
  <c r="BX19" i="5"/>
  <c r="BT19" i="5"/>
  <c r="BU19" i="5" s="1"/>
  <c r="BS19" i="5"/>
  <c r="BN19" i="5"/>
  <c r="BO19" i="5" s="1"/>
  <c r="CW19" i="5" s="1"/>
  <c r="CY19" i="5" s="1"/>
  <c r="BM19" i="5"/>
  <c r="BI19" i="5"/>
  <c r="BJ19" i="5" s="1"/>
  <c r="BH19" i="5"/>
  <c r="BE19" i="5"/>
  <c r="BD19" i="5"/>
  <c r="AZ19" i="5"/>
  <c r="BA19" i="5" s="1"/>
  <c r="CZ19" i="5" s="1"/>
  <c r="AY19" i="5"/>
  <c r="AV19" i="5"/>
  <c r="AU19" i="5"/>
  <c r="AQ19" i="5"/>
  <c r="AP19" i="5"/>
  <c r="AM19" i="5"/>
  <c r="AL19" i="5"/>
  <c r="AF19" i="5"/>
  <c r="AG19" i="5" s="1"/>
  <c r="CU18" i="5"/>
  <c r="CV18" i="5" s="1"/>
  <c r="CR18" i="5"/>
  <c r="CO18" i="5"/>
  <c r="CL18" i="5"/>
  <c r="CG18" i="5"/>
  <c r="CH18" i="5" s="1"/>
  <c r="CD18" i="5"/>
  <c r="BY18" i="5"/>
  <c r="BX18" i="5"/>
  <c r="BT18" i="5"/>
  <c r="BV18" i="5" s="1"/>
  <c r="BS18" i="5"/>
  <c r="BN18" i="5"/>
  <c r="BO18" i="5" s="1"/>
  <c r="BM18" i="5"/>
  <c r="BJ18" i="5"/>
  <c r="BI18" i="5"/>
  <c r="BH18" i="5"/>
  <c r="BE18" i="5"/>
  <c r="BD18" i="5"/>
  <c r="AZ18" i="5"/>
  <c r="BA18" i="5" s="1"/>
  <c r="AY18" i="5"/>
  <c r="AV18" i="5"/>
  <c r="AU18" i="5"/>
  <c r="AQ18" i="5"/>
  <c r="AP18" i="5"/>
  <c r="AM18" i="5"/>
  <c r="AR18" i="5" s="1"/>
  <c r="AL18" i="5"/>
  <c r="AF18" i="5"/>
  <c r="AG18" i="5" s="1"/>
  <c r="CU17" i="5"/>
  <c r="CV17" i="5" s="1"/>
  <c r="CX17" i="5" s="1"/>
  <c r="CR17" i="5"/>
  <c r="CO17" i="5"/>
  <c r="CL17" i="5"/>
  <c r="CG17" i="5"/>
  <c r="CI17" i="5" s="1"/>
  <c r="CD17" i="5"/>
  <c r="BY17" i="5"/>
  <c r="BX17" i="5"/>
  <c r="BT17" i="5"/>
  <c r="BU17" i="5" s="1"/>
  <c r="BS17" i="5"/>
  <c r="BN17" i="5"/>
  <c r="BO17" i="5" s="1"/>
  <c r="BM17" i="5"/>
  <c r="BI17" i="5"/>
  <c r="BJ17" i="5" s="1"/>
  <c r="BH17" i="5"/>
  <c r="BE17" i="5"/>
  <c r="BD17" i="5"/>
  <c r="AZ17" i="5"/>
  <c r="BA17" i="5" s="1"/>
  <c r="CZ17" i="5" s="1"/>
  <c r="AY17" i="5"/>
  <c r="AV17" i="5"/>
  <c r="AU17" i="5"/>
  <c r="AQ17" i="5"/>
  <c r="AP17" i="5"/>
  <c r="AM17" i="5"/>
  <c r="AR17" i="5" s="1"/>
  <c r="AL17" i="5"/>
  <c r="AF17" i="5"/>
  <c r="AG17" i="5" s="1"/>
  <c r="CU16" i="5"/>
  <c r="CV16" i="5" s="1"/>
  <c r="CX16" i="5" s="1"/>
  <c r="CR16" i="5"/>
  <c r="CO16" i="5"/>
  <c r="CL16" i="5"/>
  <c r="CG16" i="5"/>
  <c r="CH16" i="5" s="1"/>
  <c r="CD16" i="5"/>
  <c r="BY16" i="5"/>
  <c r="BX16" i="5"/>
  <c r="BT16" i="5"/>
  <c r="BU16" i="5" s="1"/>
  <c r="BS16" i="5"/>
  <c r="BN16" i="5"/>
  <c r="BO16" i="5" s="1"/>
  <c r="CW16" i="5" s="1"/>
  <c r="CY16" i="5" s="1"/>
  <c r="BM16" i="5"/>
  <c r="BJ16" i="5"/>
  <c r="BI16" i="5"/>
  <c r="BH16" i="5"/>
  <c r="BE16" i="5"/>
  <c r="BD16" i="5"/>
  <c r="AZ16" i="5"/>
  <c r="BA16" i="5" s="1"/>
  <c r="AY16" i="5"/>
  <c r="AV16" i="5"/>
  <c r="AU16" i="5"/>
  <c r="AR16" i="5"/>
  <c r="AQ16" i="5"/>
  <c r="AP16" i="5"/>
  <c r="AM16" i="5"/>
  <c r="AL16" i="5"/>
  <c r="AG16" i="5"/>
  <c r="AF16" i="5"/>
  <c r="CU15" i="5"/>
  <c r="CV15" i="5" s="1"/>
  <c r="CR15" i="5"/>
  <c r="CO15" i="5"/>
  <c r="CL15" i="5"/>
  <c r="CI15" i="5"/>
  <c r="CH15" i="5"/>
  <c r="CG15" i="5"/>
  <c r="CD15" i="5"/>
  <c r="BY15" i="5"/>
  <c r="BX15" i="5"/>
  <c r="BT15" i="5"/>
  <c r="BS15" i="5"/>
  <c r="BP15" i="5"/>
  <c r="BO15" i="5"/>
  <c r="BN15" i="5"/>
  <c r="BM15" i="5"/>
  <c r="BI15" i="5"/>
  <c r="BJ15" i="5" s="1"/>
  <c r="BH15" i="5"/>
  <c r="BE15" i="5"/>
  <c r="BD15" i="5"/>
  <c r="AZ15" i="5"/>
  <c r="BA15" i="5" s="1"/>
  <c r="AY15" i="5"/>
  <c r="AV15" i="5"/>
  <c r="AU15" i="5"/>
  <c r="AR15" i="5"/>
  <c r="AQ15" i="5"/>
  <c r="AP15" i="5"/>
  <c r="AM15" i="5"/>
  <c r="AL15" i="5"/>
  <c r="AF15" i="5"/>
  <c r="AG15" i="5" s="1"/>
  <c r="CU14" i="5"/>
  <c r="CV14" i="5" s="1"/>
  <c r="CX14" i="5" s="1"/>
  <c r="CR14" i="5"/>
  <c r="CO14" i="5"/>
  <c r="CL14" i="5"/>
  <c r="CG14" i="5"/>
  <c r="CH14" i="5" s="1"/>
  <c r="CD14" i="5"/>
  <c r="BY14" i="5"/>
  <c r="BX14" i="5"/>
  <c r="BT14" i="5"/>
  <c r="BS14" i="5"/>
  <c r="BN14" i="5"/>
  <c r="BO14" i="5" s="1"/>
  <c r="BM14" i="5"/>
  <c r="BI14" i="5"/>
  <c r="BJ14" i="5" s="1"/>
  <c r="BH14" i="5"/>
  <c r="BE14" i="5"/>
  <c r="BD14" i="5"/>
  <c r="AZ14" i="5"/>
  <c r="BA14" i="5" s="1"/>
  <c r="AY14" i="5"/>
  <c r="AV14" i="5"/>
  <c r="AU14" i="5"/>
  <c r="AR14" i="5"/>
  <c r="AQ14" i="5"/>
  <c r="AP14" i="5"/>
  <c r="AM14" i="5"/>
  <c r="AL14" i="5"/>
  <c r="AF14" i="5"/>
  <c r="AG14" i="5" s="1"/>
  <c r="CU13" i="5"/>
  <c r="CV13" i="5" s="1"/>
  <c r="CX13" i="5" s="1"/>
  <c r="CR13" i="5"/>
  <c r="CO13" i="5"/>
  <c r="CL13" i="5"/>
  <c r="CG13" i="5"/>
  <c r="CH13" i="5" s="1"/>
  <c r="CD13" i="5"/>
  <c r="BY13" i="5"/>
  <c r="BX13" i="5"/>
  <c r="BT13" i="5"/>
  <c r="BS13" i="5"/>
  <c r="BN13" i="5"/>
  <c r="BP13" i="5" s="1"/>
  <c r="BM13" i="5"/>
  <c r="BI13" i="5"/>
  <c r="BJ13" i="5" s="1"/>
  <c r="BH13" i="5"/>
  <c r="BE13" i="5"/>
  <c r="BD13" i="5"/>
  <c r="AZ13" i="5"/>
  <c r="BA13" i="5" s="1"/>
  <c r="CZ13" i="5" s="1"/>
  <c r="AY13" i="5"/>
  <c r="AV13" i="5"/>
  <c r="AU13" i="5"/>
  <c r="AQ13" i="5"/>
  <c r="AP13" i="5"/>
  <c r="AM13" i="5"/>
  <c r="AR13" i="5" s="1"/>
  <c r="AL13" i="5"/>
  <c r="AF13" i="5"/>
  <c r="AG13" i="5" s="1"/>
  <c r="CU12" i="5"/>
  <c r="CV12" i="5" s="1"/>
  <c r="CX12" i="5" s="1"/>
  <c r="CR12" i="5"/>
  <c r="CO12" i="5"/>
  <c r="CL12" i="5"/>
  <c r="CG12" i="5"/>
  <c r="CI12" i="5" s="1"/>
  <c r="CD12" i="5"/>
  <c r="BY12" i="5"/>
  <c r="BX12" i="5"/>
  <c r="BT12" i="5"/>
  <c r="BV12" i="5" s="1"/>
  <c r="BS12" i="5"/>
  <c r="BN12" i="5"/>
  <c r="BP12" i="5" s="1"/>
  <c r="BM12" i="5"/>
  <c r="BI12" i="5"/>
  <c r="BJ12" i="5" s="1"/>
  <c r="BH12" i="5"/>
  <c r="BE12" i="5"/>
  <c r="BD12" i="5"/>
  <c r="BA12" i="5"/>
  <c r="AZ12" i="5"/>
  <c r="AY12" i="5"/>
  <c r="AV12" i="5"/>
  <c r="AU12" i="5"/>
  <c r="AQ12" i="5"/>
  <c r="AP12" i="5"/>
  <c r="AM12" i="5"/>
  <c r="AR12" i="5" s="1"/>
  <c r="AL12" i="5"/>
  <c r="AF12" i="5"/>
  <c r="AG12" i="5" s="1"/>
  <c r="CU11" i="5"/>
  <c r="CV11" i="5" s="1"/>
  <c r="CX11" i="5" s="1"/>
  <c r="CR11" i="5"/>
  <c r="CO11" i="5"/>
  <c r="CL11" i="5"/>
  <c r="CG11" i="5"/>
  <c r="CI11" i="5" s="1"/>
  <c r="CD11" i="5"/>
  <c r="BY11" i="5"/>
  <c r="BX11" i="5"/>
  <c r="CY11" i="5" s="1"/>
  <c r="BV11" i="5"/>
  <c r="BU11" i="5"/>
  <c r="BT11" i="5"/>
  <c r="BS11" i="5"/>
  <c r="BN11" i="5"/>
  <c r="BP11" i="5" s="1"/>
  <c r="BM11" i="5"/>
  <c r="BI11" i="5"/>
  <c r="BJ11" i="5" s="1"/>
  <c r="BH11" i="5"/>
  <c r="BE11" i="5"/>
  <c r="BD11" i="5"/>
  <c r="AZ11" i="5"/>
  <c r="BA11" i="5" s="1"/>
  <c r="CZ11" i="5" s="1"/>
  <c r="AY11" i="5"/>
  <c r="AV11" i="5"/>
  <c r="AU11" i="5"/>
  <c r="AQ11" i="5"/>
  <c r="AR11" i="5" s="1"/>
  <c r="AP11" i="5"/>
  <c r="AM11" i="5"/>
  <c r="AL11" i="5"/>
  <c r="AF11" i="5"/>
  <c r="AG11" i="5" s="1"/>
  <c r="CU10" i="5"/>
  <c r="CV10" i="5" s="1"/>
  <c r="CR10" i="5"/>
  <c r="CO10" i="5"/>
  <c r="CL10" i="5"/>
  <c r="CG10" i="5"/>
  <c r="CI10" i="5" s="1"/>
  <c r="CD10" i="5"/>
  <c r="BY10" i="5"/>
  <c r="BX10" i="5"/>
  <c r="BT10" i="5"/>
  <c r="BV10" i="5" s="1"/>
  <c r="BS10" i="5"/>
  <c r="BN10" i="5"/>
  <c r="BO10" i="5" s="1"/>
  <c r="BM10" i="5"/>
  <c r="BI10" i="5"/>
  <c r="BJ10" i="5" s="1"/>
  <c r="BH10" i="5"/>
  <c r="BE10" i="5"/>
  <c r="BD10" i="5"/>
  <c r="AZ10" i="5"/>
  <c r="BA10" i="5" s="1"/>
  <c r="AY10" i="5"/>
  <c r="AV10" i="5"/>
  <c r="AU10" i="5"/>
  <c r="AQ10" i="5"/>
  <c r="AP10" i="5"/>
  <c r="AM10" i="5"/>
  <c r="AR10" i="5" s="1"/>
  <c r="AL10" i="5"/>
  <c r="AF10" i="5"/>
  <c r="AG10" i="5" s="1"/>
  <c r="CU9" i="5"/>
  <c r="CV9" i="5" s="1"/>
  <c r="CR9" i="5"/>
  <c r="CO9" i="5"/>
  <c r="CL9" i="5"/>
  <c r="CI9" i="5"/>
  <c r="CH9" i="5"/>
  <c r="CG9" i="5"/>
  <c r="CD9" i="5"/>
  <c r="BY9" i="5"/>
  <c r="BX9" i="5"/>
  <c r="BT9" i="5"/>
  <c r="BV9" i="5" s="1"/>
  <c r="BS9" i="5"/>
  <c r="BP9" i="5"/>
  <c r="BO9" i="5"/>
  <c r="BN9" i="5"/>
  <c r="BM9" i="5"/>
  <c r="BJ9" i="5"/>
  <c r="BI9" i="5"/>
  <c r="BH9" i="5"/>
  <c r="BE9" i="5"/>
  <c r="BD9" i="5"/>
  <c r="AZ9" i="5"/>
  <c r="BA9" i="5" s="1"/>
  <c r="AY9" i="5"/>
  <c r="AV9" i="5"/>
  <c r="AU9" i="5"/>
  <c r="AQ9" i="5"/>
  <c r="AP9" i="5"/>
  <c r="AM9" i="5"/>
  <c r="AL9" i="5"/>
  <c r="AF9" i="5"/>
  <c r="AG9" i="5" s="1"/>
  <c r="CU8" i="5"/>
  <c r="CV8" i="5" s="1"/>
  <c r="CX8" i="5" s="1"/>
  <c r="CR8" i="5"/>
  <c r="CO8" i="5"/>
  <c r="CL8" i="5"/>
  <c r="CG8" i="5"/>
  <c r="CD8" i="5"/>
  <c r="BY8" i="5"/>
  <c r="BX8" i="5"/>
  <c r="BT8" i="5"/>
  <c r="BU8" i="5" s="1"/>
  <c r="CW8" i="5" s="1"/>
  <c r="CY8" i="5" s="1"/>
  <c r="BS8" i="5"/>
  <c r="BN8" i="5"/>
  <c r="BO8" i="5" s="1"/>
  <c r="BM8" i="5"/>
  <c r="BI8" i="5"/>
  <c r="BJ8" i="5" s="1"/>
  <c r="BH8" i="5"/>
  <c r="BE8" i="5"/>
  <c r="BD8" i="5"/>
  <c r="BA8" i="5"/>
  <c r="AZ8" i="5"/>
  <c r="AY8" i="5"/>
  <c r="AV8" i="5"/>
  <c r="AU8" i="5"/>
  <c r="AQ8" i="5"/>
  <c r="AP8" i="5"/>
  <c r="AM8" i="5"/>
  <c r="AR8" i="5" s="1"/>
  <c r="AL8" i="5"/>
  <c r="AF8" i="5"/>
  <c r="AG8" i="5" s="1"/>
  <c r="CU7" i="5"/>
  <c r="CV7" i="5" s="1"/>
  <c r="CX7" i="5" s="1"/>
  <c r="CR7" i="5"/>
  <c r="CO7" i="5"/>
  <c r="CL7" i="5"/>
  <c r="CG7" i="5"/>
  <c r="CH7" i="5" s="1"/>
  <c r="CD7" i="5"/>
  <c r="BY7" i="5"/>
  <c r="BX7" i="5"/>
  <c r="BT7" i="5"/>
  <c r="BV7" i="5" s="1"/>
  <c r="BS7" i="5"/>
  <c r="BN7" i="5"/>
  <c r="BP7" i="5" s="1"/>
  <c r="BM7" i="5"/>
  <c r="BI7" i="5"/>
  <c r="BJ7" i="5" s="1"/>
  <c r="BH7" i="5"/>
  <c r="BE7" i="5"/>
  <c r="BD7" i="5"/>
  <c r="AZ7" i="5"/>
  <c r="BA7" i="5" s="1"/>
  <c r="AY7" i="5"/>
  <c r="AV7" i="5"/>
  <c r="AU7" i="5"/>
  <c r="AQ7" i="5"/>
  <c r="AR7" i="5" s="1"/>
  <c r="AP7" i="5"/>
  <c r="AM7" i="5"/>
  <c r="AL7" i="5"/>
  <c r="AF7" i="5"/>
  <c r="AG7" i="5" s="1"/>
  <c r="CU6" i="5"/>
  <c r="CV6" i="5" s="1"/>
  <c r="CX6" i="5" s="1"/>
  <c r="CR6" i="5"/>
  <c r="CO6" i="5"/>
  <c r="CL6" i="5"/>
  <c r="CG6" i="5"/>
  <c r="CH6" i="5" s="1"/>
  <c r="CD6" i="5"/>
  <c r="BY6" i="5"/>
  <c r="BX6" i="5"/>
  <c r="BT6" i="5"/>
  <c r="BV6" i="5" s="1"/>
  <c r="BS6" i="5"/>
  <c r="BP6" i="5"/>
  <c r="BN6" i="5"/>
  <c r="BO6" i="5" s="1"/>
  <c r="BM6" i="5"/>
  <c r="BI6" i="5"/>
  <c r="BJ6" i="5" s="1"/>
  <c r="BH6" i="5"/>
  <c r="BE6" i="5"/>
  <c r="BD6" i="5"/>
  <c r="AZ6" i="5"/>
  <c r="BA6" i="5" s="1"/>
  <c r="AY6" i="5"/>
  <c r="AV6" i="5"/>
  <c r="AU6" i="5"/>
  <c r="AQ6" i="5"/>
  <c r="AP6" i="5"/>
  <c r="AM6" i="5"/>
  <c r="AL6" i="5"/>
  <c r="AF6" i="5"/>
  <c r="AG6" i="5" s="1"/>
  <c r="CU5" i="5"/>
  <c r="CV5" i="5" s="1"/>
  <c r="CX5" i="5" s="1"/>
  <c r="CR5" i="5"/>
  <c r="CO5" i="5"/>
  <c r="CL5" i="5"/>
  <c r="CG5" i="5"/>
  <c r="CI5" i="5" s="1"/>
  <c r="CD5" i="5"/>
  <c r="BY5" i="5"/>
  <c r="BX5" i="5"/>
  <c r="BT5" i="5"/>
  <c r="BV5" i="5" s="1"/>
  <c r="BS5" i="5"/>
  <c r="BN5" i="5"/>
  <c r="BP5" i="5" s="1"/>
  <c r="BM5" i="5"/>
  <c r="BJ5" i="5"/>
  <c r="BI5" i="5"/>
  <c r="BH5" i="5"/>
  <c r="BE5" i="5"/>
  <c r="BD5" i="5"/>
  <c r="BA5" i="5"/>
  <c r="CZ5" i="5" s="1"/>
  <c r="AZ5" i="5"/>
  <c r="AY5" i="5"/>
  <c r="AV5" i="5"/>
  <c r="AU5" i="5"/>
  <c r="AQ5" i="5"/>
  <c r="AP5" i="5"/>
  <c r="AM5" i="5"/>
  <c r="AL5" i="5"/>
  <c r="AF5" i="5"/>
  <c r="AG5" i="5" s="1"/>
  <c r="CU4" i="5"/>
  <c r="CV4" i="5" s="1"/>
  <c r="CX4" i="5" s="1"/>
  <c r="CR4" i="5"/>
  <c r="CO4" i="5"/>
  <c r="CL4" i="5"/>
  <c r="CG4" i="5"/>
  <c r="CH4" i="5" s="1"/>
  <c r="CD4" i="5"/>
  <c r="BY4" i="5"/>
  <c r="BX4" i="5"/>
  <c r="BT4" i="5"/>
  <c r="BU4" i="5" s="1"/>
  <c r="BS4" i="5"/>
  <c r="BN4" i="5"/>
  <c r="BO4" i="5" s="1"/>
  <c r="CW4" i="5" s="1"/>
  <c r="CY4" i="5" s="1"/>
  <c r="BM4" i="5"/>
  <c r="BI4" i="5"/>
  <c r="BJ4" i="5" s="1"/>
  <c r="BH4" i="5"/>
  <c r="BE4" i="5"/>
  <c r="BD4" i="5"/>
  <c r="AZ4" i="5"/>
  <c r="BA4" i="5" s="1"/>
  <c r="AY4" i="5"/>
  <c r="AV4" i="5"/>
  <c r="AU4" i="5"/>
  <c r="AQ4" i="5"/>
  <c r="AP4" i="5"/>
  <c r="AM4" i="5"/>
  <c r="AL4" i="5"/>
  <c r="AF4" i="5"/>
  <c r="AG4" i="5" s="1"/>
  <c r="BO13" i="5" l="1"/>
  <c r="BV17" i="5"/>
  <c r="BV23" i="5"/>
  <c r="CI26" i="5"/>
  <c r="CH31" i="5"/>
  <c r="CH40" i="5"/>
  <c r="CH42" i="5"/>
  <c r="CI45" i="5"/>
  <c r="DA53" i="5"/>
  <c r="BU5" i="5"/>
  <c r="BV8" i="5"/>
  <c r="CX15" i="5"/>
  <c r="AR6" i="5"/>
  <c r="CI7" i="5"/>
  <c r="AR9" i="5"/>
  <c r="CI14" i="5"/>
  <c r="CX18" i="5"/>
  <c r="BP20" i="5"/>
  <c r="CX28" i="5"/>
  <c r="CX34" i="5"/>
  <c r="AR35" i="5"/>
  <c r="CW35" i="5"/>
  <c r="CY35" i="5" s="1"/>
  <c r="BO37" i="5"/>
  <c r="CH38" i="5"/>
  <c r="CX44" i="5"/>
  <c r="BO49" i="5"/>
  <c r="CW49" i="5" s="1"/>
  <c r="CY49" i="5" s="1"/>
  <c r="CY53" i="5"/>
  <c r="DA27" i="5"/>
  <c r="CZ43" i="5"/>
  <c r="CZ51" i="5"/>
  <c r="DA4" i="5"/>
  <c r="CX9" i="5"/>
  <c r="BU18" i="5"/>
  <c r="CW18" i="5" s="1"/>
  <c r="CY18" i="5" s="1"/>
  <c r="BV20" i="5"/>
  <c r="CI25" i="5"/>
  <c r="BO31" i="5"/>
  <c r="CW31" i="5" s="1"/>
  <c r="CY31" i="5" s="1"/>
  <c r="BP33" i="5"/>
  <c r="BO40" i="5"/>
  <c r="CW40" i="5" s="1"/>
  <c r="CY40" i="5" s="1"/>
  <c r="CH43" i="5"/>
  <c r="AR47" i="5"/>
  <c r="DA13" i="5"/>
  <c r="DB13" i="5" s="1"/>
  <c r="DA16" i="5"/>
  <c r="AR19" i="5"/>
  <c r="BU22" i="5"/>
  <c r="CW22" i="5" s="1"/>
  <c r="CY22" i="5" s="1"/>
  <c r="CH23" i="5"/>
  <c r="CW24" i="5"/>
  <c r="CY24" i="5" s="1"/>
  <c r="CI27" i="5"/>
  <c r="BV37" i="5"/>
  <c r="BO42" i="5"/>
  <c r="AR50" i="5"/>
  <c r="CZ36" i="5"/>
  <c r="BU9" i="5"/>
  <c r="CW9" i="5" s="1"/>
  <c r="CY9" i="5" s="1"/>
  <c r="CX10" i="5"/>
  <c r="BP19" i="5"/>
  <c r="DA19" i="5"/>
  <c r="DB19" i="5" s="1"/>
  <c r="CI30" i="5"/>
  <c r="CX36" i="5"/>
  <c r="BO38" i="5"/>
  <c r="CW38" i="5" s="1"/>
  <c r="CY38" i="5" s="1"/>
  <c r="AR45" i="5"/>
  <c r="CX48" i="5"/>
  <c r="BP50" i="5"/>
  <c r="CZ52" i="5"/>
  <c r="AR4" i="5"/>
  <c r="BU12" i="5"/>
  <c r="CI13" i="5"/>
  <c r="CW17" i="5"/>
  <c r="CY17" i="5" s="1"/>
  <c r="DA21" i="5"/>
  <c r="DB21" i="5" s="1"/>
  <c r="BV24" i="5"/>
  <c r="CX25" i="5"/>
  <c r="CI32" i="5"/>
  <c r="DA36" i="5"/>
  <c r="CX51" i="5"/>
  <c r="AR5" i="5"/>
  <c r="BP17" i="5"/>
  <c r="BV19" i="5"/>
  <c r="CW21" i="5"/>
  <c r="CY21" i="5" s="1"/>
  <c r="CW27" i="5"/>
  <c r="CY27" i="5" s="1"/>
  <c r="CX27" i="5"/>
  <c r="CW36" i="5"/>
  <c r="CY36" i="5" s="1"/>
  <c r="CZ39" i="5"/>
  <c r="AR41" i="5"/>
  <c r="CX43" i="5"/>
  <c r="CI44" i="5"/>
  <c r="BU48" i="5"/>
  <c r="CW48" i="5" s="1"/>
  <c r="CY48" i="5" s="1"/>
  <c r="CZ29" i="5"/>
  <c r="DA8" i="5"/>
  <c r="CI6" i="5"/>
  <c r="CX23" i="5"/>
  <c r="BP27" i="5"/>
  <c r="CX30" i="5"/>
  <c r="DA37" i="5"/>
  <c r="DB37" i="5" s="1"/>
  <c r="CI37" i="5"/>
  <c r="AR39" i="5"/>
  <c r="AR43" i="5"/>
  <c r="CX46" i="5"/>
  <c r="BO51" i="5"/>
  <c r="CZ34" i="5"/>
  <c r="DA34" i="5"/>
  <c r="CW13" i="5"/>
  <c r="CY13" i="5" s="1"/>
  <c r="CZ22" i="5"/>
  <c r="DA22" i="5"/>
  <c r="CZ18" i="5"/>
  <c r="DA18" i="5"/>
  <c r="BP43" i="5"/>
  <c r="BO43" i="5"/>
  <c r="CW43" i="5" s="1"/>
  <c r="CY43" i="5" s="1"/>
  <c r="BU13" i="5"/>
  <c r="BV13" i="5"/>
  <c r="BV21" i="5"/>
  <c r="BP32" i="5"/>
  <c r="DA42" i="5"/>
  <c r="CZ42" i="5"/>
  <c r="BU52" i="5"/>
  <c r="CI4" i="5"/>
  <c r="BU6" i="5"/>
  <c r="CW6" i="5" s="1"/>
  <c r="CY6" i="5" s="1"/>
  <c r="CZ10" i="5"/>
  <c r="DA17" i="5"/>
  <c r="DB17" i="5" s="1"/>
  <c r="DA32" i="5"/>
  <c r="DA35" i="5"/>
  <c r="BU15" i="5"/>
  <c r="CW15" i="5" s="1"/>
  <c r="CY15" i="5" s="1"/>
  <c r="BV15" i="5"/>
  <c r="CZ20" i="5"/>
  <c r="DA20" i="5"/>
  <c r="CZ30" i="5"/>
  <c r="CW14" i="5"/>
  <c r="CY14" i="5" s="1"/>
  <c r="BP14" i="5"/>
  <c r="BO7" i="5"/>
  <c r="DA7" i="5" s="1"/>
  <c r="CZ7" i="5"/>
  <c r="CZ6" i="5"/>
  <c r="DA6" i="5"/>
  <c r="CZ9" i="5"/>
  <c r="DA9" i="5"/>
  <c r="CI47" i="5"/>
  <c r="CH47" i="5"/>
  <c r="CZ8" i="5"/>
  <c r="DB8" i="5" s="1"/>
  <c r="CH10" i="5"/>
  <c r="CH35" i="5"/>
  <c r="BP46" i="5"/>
  <c r="BP4" i="5"/>
  <c r="DA33" i="5"/>
  <c r="DA41" i="5"/>
  <c r="DA46" i="5"/>
  <c r="DB46" i="5" s="1"/>
  <c r="CH49" i="5"/>
  <c r="CZ12" i="5"/>
  <c r="CZ28" i="5"/>
  <c r="DA28" i="5"/>
  <c r="DA48" i="5"/>
  <c r="BV14" i="5"/>
  <c r="BU14" i="5"/>
  <c r="CZ24" i="5"/>
  <c r="DA24" i="5"/>
  <c r="CH8" i="5"/>
  <c r="CI8" i="5"/>
  <c r="DA50" i="5"/>
  <c r="CZ50" i="5"/>
  <c r="CZ4" i="5"/>
  <c r="DB4" i="5" s="1"/>
  <c r="BP10" i="5"/>
  <c r="CZ14" i="5"/>
  <c r="DA14" i="5"/>
  <c r="BP16" i="5"/>
  <c r="CZ23" i="5"/>
  <c r="DA44" i="5"/>
  <c r="CZ44" i="5"/>
  <c r="DB44" i="5" s="1"/>
  <c r="BO45" i="5"/>
  <c r="DA10" i="5"/>
  <c r="DA29" i="5"/>
  <c r="DB29" i="5" s="1"/>
  <c r="BO30" i="5"/>
  <c r="DA30" i="5" s="1"/>
  <c r="BP30" i="5"/>
  <c r="CZ33" i="5"/>
  <c r="DB36" i="5"/>
  <c r="CZ38" i="5"/>
  <c r="CZ40" i="5"/>
  <c r="DB40" i="5" s="1"/>
  <c r="CI41" i="5"/>
  <c r="CH41" i="5"/>
  <c r="CI48" i="5"/>
  <c r="CH19" i="5"/>
  <c r="BO25" i="5"/>
  <c r="CW25" i="5" s="1"/>
  <c r="CY25" i="5" s="1"/>
  <c r="CI34" i="5"/>
  <c r="CH39" i="5"/>
  <c r="BP44" i="5"/>
  <c r="DB53" i="5"/>
  <c r="CH11" i="5"/>
  <c r="BV16" i="5"/>
  <c r="BV27" i="5"/>
  <c r="BV31" i="5"/>
  <c r="BV51" i="5"/>
  <c r="BU10" i="5"/>
  <c r="CW10" i="5" s="1"/>
  <c r="CY10" i="5" s="1"/>
  <c r="CZ27" i="5"/>
  <c r="DB27" i="5" s="1"/>
  <c r="BV29" i="5"/>
  <c r="BU30" i="5"/>
  <c r="CI33" i="5"/>
  <c r="BU38" i="5"/>
  <c r="BO39" i="5"/>
  <c r="CW39" i="5" s="1"/>
  <c r="CY39" i="5" s="1"/>
  <c r="BV42" i="5"/>
  <c r="BU50" i="5"/>
  <c r="CW50" i="5" s="1"/>
  <c r="CY50" i="5" s="1"/>
  <c r="BV4" i="5"/>
  <c r="BO5" i="5"/>
  <c r="BU7" i="5"/>
  <c r="BP8" i="5"/>
  <c r="BO11" i="5"/>
  <c r="DA11" i="5" s="1"/>
  <c r="DB11" i="5" s="1"/>
  <c r="CH12" i="5"/>
  <c r="CH17" i="5"/>
  <c r="CI18" i="5"/>
  <c r="BO23" i="5"/>
  <c r="CW23" i="5" s="1"/>
  <c r="CY23" i="5" s="1"/>
  <c r="BU28" i="5"/>
  <c r="CW28" i="5" s="1"/>
  <c r="CY28" i="5" s="1"/>
  <c r="CZ41" i="5"/>
  <c r="BV43" i="5"/>
  <c r="BU44" i="5"/>
  <c r="CW44" i="5" s="1"/>
  <c r="CY44" i="5" s="1"/>
  <c r="BP24" i="5"/>
  <c r="CZ25" i="5"/>
  <c r="BV35" i="5"/>
  <c r="DA43" i="5"/>
  <c r="DB43" i="5" s="1"/>
  <c r="CI46" i="5"/>
  <c r="BO47" i="5"/>
  <c r="CW47" i="5" s="1"/>
  <c r="CY47" i="5" s="1"/>
  <c r="CZ49" i="5"/>
  <c r="BV49" i="5"/>
  <c r="DA15" i="5"/>
  <c r="CI24" i="5"/>
  <c r="CH5" i="5"/>
  <c r="CZ15" i="5"/>
  <c r="DB15" i="5" s="1"/>
  <c r="DA31" i="5"/>
  <c r="CZ31" i="5"/>
  <c r="BU45" i="5"/>
  <c r="BV45" i="5"/>
  <c r="CZ16" i="5"/>
  <c r="DB16" i="5" s="1"/>
  <c r="CZ26" i="5"/>
  <c r="DA26" i="5"/>
  <c r="CZ35" i="5"/>
  <c r="DA40" i="5"/>
  <c r="CZ48" i="5"/>
  <c r="CI51" i="5"/>
  <c r="CH51" i="5"/>
  <c r="BO12" i="5"/>
  <c r="CI16" i="5"/>
  <c r="CZ45" i="5"/>
  <c r="BP18" i="5"/>
  <c r="CI20" i="5"/>
  <c r="BP26" i="5"/>
  <c r="CI28" i="5"/>
  <c r="BP34" i="5"/>
  <c r="CI36" i="5"/>
  <c r="BP48" i="5"/>
  <c r="CI50" i="5"/>
  <c r="CZ32" i="5"/>
  <c r="DB32" i="5" s="1"/>
  <c r="AR38" i="5"/>
  <c r="CW41" i="5"/>
  <c r="CY41" i="5" s="1"/>
  <c r="AR42" i="5"/>
  <c r="BP52" i="5"/>
  <c r="BO52" i="5"/>
  <c r="DA52" i="5" s="1"/>
  <c r="DB52" i="5" s="1"/>
  <c r="CZ47" i="5"/>
  <c r="BV47" i="5"/>
  <c r="CI53" i="5"/>
  <c r="CX53" i="5"/>
  <c r="DB42" i="5" l="1"/>
  <c r="DB20" i="5"/>
  <c r="DB34" i="5"/>
  <c r="CW12" i="5"/>
  <c r="CY12" i="5" s="1"/>
  <c r="DA25" i="5"/>
  <c r="DB25" i="5" s="1"/>
  <c r="CW45" i="5"/>
  <c r="CY45" i="5" s="1"/>
  <c r="DA51" i="5"/>
  <c r="DB51" i="5" s="1"/>
  <c r="CW51" i="5"/>
  <c r="CY51" i="5" s="1"/>
  <c r="DA47" i="5"/>
  <c r="DB47" i="5" s="1"/>
  <c r="DB28" i="5"/>
  <c r="DB48" i="5"/>
  <c r="DB23" i="5"/>
  <c r="DA23" i="5"/>
  <c r="DB35" i="5"/>
  <c r="DA49" i="5"/>
  <c r="DA38" i="5"/>
  <c r="DB38" i="5" s="1"/>
  <c r="DB10" i="5"/>
  <c r="DA12" i="5"/>
  <c r="DB12" i="5"/>
  <c r="DA45" i="5"/>
  <c r="DB45" i="5" s="1"/>
  <c r="DA5" i="5"/>
  <c r="DB5" i="5" s="1"/>
  <c r="CW5" i="5"/>
  <c r="CY5" i="5" s="1"/>
  <c r="DB41" i="5"/>
  <c r="CW52" i="5"/>
  <c r="CY52" i="5" s="1"/>
  <c r="DB9" i="5"/>
  <c r="DB26" i="5"/>
  <c r="DB49" i="5"/>
  <c r="DB33" i="5"/>
  <c r="DB14" i="5"/>
  <c r="DB18" i="5"/>
  <c r="DB22" i="5"/>
  <c r="DB24" i="5"/>
  <c r="DB6" i="5"/>
  <c r="CW30" i="5"/>
  <c r="CY30" i="5" s="1"/>
  <c r="DB30" i="5"/>
  <c r="DA39" i="5"/>
  <c r="DB39" i="5" s="1"/>
  <c r="DB7" i="5"/>
  <c r="DB31" i="5"/>
  <c r="DB50" i="5"/>
  <c r="CW7" i="5"/>
  <c r="CY7" i="5" s="1"/>
  <c r="AF53" i="4"/>
  <c r="AE53" i="4"/>
  <c r="AC53" i="4"/>
  <c r="AA53" i="4"/>
  <c r="Y53" i="4"/>
  <c r="X53" i="4"/>
  <c r="V53" i="4"/>
  <c r="U53" i="4"/>
  <c r="S53" i="4"/>
  <c r="Q53" i="4"/>
  <c r="AF52" i="4"/>
  <c r="AE52" i="4"/>
  <c r="AC52" i="4"/>
  <c r="AA52" i="4"/>
  <c r="Y52" i="4"/>
  <c r="X52" i="4"/>
  <c r="V52" i="4"/>
  <c r="U52" i="4"/>
  <c r="S52" i="4"/>
  <c r="Q52" i="4"/>
  <c r="AF51" i="4"/>
  <c r="AE51" i="4"/>
  <c r="AC51" i="4"/>
  <c r="AA51" i="4"/>
  <c r="Y51" i="4"/>
  <c r="X51" i="4"/>
  <c r="V51" i="4"/>
  <c r="U51" i="4"/>
  <c r="S51" i="4"/>
  <c r="Q51" i="4"/>
  <c r="AF50" i="4"/>
  <c r="AE50" i="4"/>
  <c r="AC50" i="4"/>
  <c r="AA50" i="4"/>
  <c r="Y50" i="4"/>
  <c r="X50" i="4"/>
  <c r="V50" i="4"/>
  <c r="U50" i="4"/>
  <c r="S50" i="4"/>
  <c r="Q50" i="4"/>
  <c r="AF49" i="4"/>
  <c r="AE49" i="4"/>
  <c r="AC49" i="4"/>
  <c r="AA49" i="4"/>
  <c r="Y49" i="4"/>
  <c r="X49" i="4"/>
  <c r="V49" i="4"/>
  <c r="U49" i="4"/>
  <c r="S49" i="4"/>
  <c r="Q49" i="4"/>
  <c r="AF48" i="4"/>
  <c r="AE48" i="4"/>
  <c r="AC48" i="4"/>
  <c r="AA48" i="4"/>
  <c r="Y48" i="4"/>
  <c r="X48" i="4"/>
  <c r="V48" i="4"/>
  <c r="U48" i="4"/>
  <c r="S48" i="4"/>
  <c r="Q48" i="4"/>
  <c r="AF47" i="4"/>
  <c r="AE47" i="4"/>
  <c r="AC47" i="4"/>
  <c r="AA47" i="4"/>
  <c r="Y47" i="4"/>
  <c r="X47" i="4"/>
  <c r="V47" i="4"/>
  <c r="U47" i="4"/>
  <c r="S47" i="4"/>
  <c r="Q47" i="4"/>
  <c r="AF46" i="4"/>
  <c r="AE46" i="4"/>
  <c r="AC46" i="4"/>
  <c r="AA46" i="4"/>
  <c r="Y46" i="4"/>
  <c r="X46" i="4"/>
  <c r="V46" i="4"/>
  <c r="U46" i="4"/>
  <c r="S46" i="4"/>
  <c r="Q46" i="4"/>
  <c r="AF45" i="4"/>
  <c r="AE45" i="4"/>
  <c r="AC45" i="4"/>
  <c r="AA45" i="4"/>
  <c r="Y45" i="4"/>
  <c r="X45" i="4"/>
  <c r="V45" i="4"/>
  <c r="U45" i="4"/>
  <c r="S45" i="4"/>
  <c r="Q45" i="4"/>
  <c r="AF44" i="4"/>
  <c r="AE44" i="4"/>
  <c r="AC44" i="4"/>
  <c r="AA44" i="4"/>
  <c r="Y44" i="4"/>
  <c r="X44" i="4"/>
  <c r="V44" i="4"/>
  <c r="U44" i="4"/>
  <c r="S44" i="4"/>
  <c r="Q44" i="4"/>
  <c r="AF43" i="4"/>
  <c r="AE43" i="4"/>
  <c r="AC43" i="4"/>
  <c r="AA43" i="4"/>
  <c r="Y43" i="4"/>
  <c r="X43" i="4"/>
  <c r="V43" i="4"/>
  <c r="U43" i="4"/>
  <c r="S43" i="4"/>
  <c r="Q43" i="4"/>
  <c r="AF42" i="4"/>
  <c r="AE42" i="4"/>
  <c r="AC42" i="4"/>
  <c r="AA42" i="4"/>
  <c r="Y42" i="4"/>
  <c r="X42" i="4"/>
  <c r="V42" i="4"/>
  <c r="U42" i="4"/>
  <c r="S42" i="4"/>
  <c r="Q42" i="4"/>
  <c r="AF41" i="4"/>
  <c r="AE41" i="4"/>
  <c r="AC41" i="4"/>
  <c r="AA41" i="4"/>
  <c r="Y41" i="4"/>
  <c r="X41" i="4"/>
  <c r="V41" i="4"/>
  <c r="U41" i="4"/>
  <c r="S41" i="4"/>
  <c r="Q41" i="4"/>
  <c r="AF40" i="4"/>
  <c r="AE40" i="4"/>
  <c r="AC40" i="4"/>
  <c r="AA40" i="4"/>
  <c r="Y40" i="4"/>
  <c r="X40" i="4"/>
  <c r="V40" i="4"/>
  <c r="U40" i="4"/>
  <c r="S40" i="4"/>
  <c r="Q40" i="4"/>
  <c r="AF39" i="4"/>
  <c r="AE39" i="4"/>
  <c r="AC39" i="4"/>
  <c r="AA39" i="4"/>
  <c r="Y39" i="4"/>
  <c r="X39" i="4"/>
  <c r="V39" i="4"/>
  <c r="U39" i="4"/>
  <c r="S39" i="4"/>
  <c r="Q39" i="4"/>
  <c r="AF38" i="4"/>
  <c r="AE38" i="4"/>
  <c r="AC38" i="4"/>
  <c r="AA38" i="4"/>
  <c r="Y38" i="4"/>
  <c r="X38" i="4"/>
  <c r="V38" i="4"/>
  <c r="U38" i="4"/>
  <c r="S38" i="4"/>
  <c r="Q38" i="4"/>
  <c r="AF37" i="4"/>
  <c r="AE37" i="4"/>
  <c r="AC37" i="4"/>
  <c r="AA37" i="4"/>
  <c r="Y37" i="4"/>
  <c r="X37" i="4"/>
  <c r="V37" i="4"/>
  <c r="U37" i="4"/>
  <c r="S37" i="4"/>
  <c r="Q37" i="4"/>
  <c r="AF36" i="4"/>
  <c r="AE36" i="4"/>
  <c r="AC36" i="4"/>
  <c r="AA36" i="4"/>
  <c r="Y36" i="4"/>
  <c r="X36" i="4"/>
  <c r="V36" i="4"/>
  <c r="U36" i="4"/>
  <c r="S36" i="4"/>
  <c r="Q36" i="4"/>
  <c r="AF35" i="4"/>
  <c r="AE35" i="4"/>
  <c r="AC35" i="4"/>
  <c r="AA35" i="4"/>
  <c r="Y35" i="4"/>
  <c r="X35" i="4"/>
  <c r="V35" i="4"/>
  <c r="U35" i="4"/>
  <c r="S35" i="4"/>
  <c r="Q35" i="4"/>
  <c r="AF34" i="4"/>
  <c r="AE34" i="4"/>
  <c r="AC34" i="4"/>
  <c r="AA34" i="4"/>
  <c r="Y34" i="4"/>
  <c r="X34" i="4"/>
  <c r="V34" i="4"/>
  <c r="U34" i="4"/>
  <c r="S34" i="4"/>
  <c r="Q34" i="4"/>
  <c r="AF33" i="4"/>
  <c r="AE33" i="4"/>
  <c r="AC33" i="4"/>
  <c r="AA33" i="4"/>
  <c r="Y33" i="4"/>
  <c r="X33" i="4"/>
  <c r="V33" i="4"/>
  <c r="U33" i="4"/>
  <c r="S33" i="4"/>
  <c r="Q33" i="4"/>
  <c r="AF32" i="4"/>
  <c r="AE32" i="4"/>
  <c r="AC32" i="4"/>
  <c r="AA32" i="4"/>
  <c r="Y32" i="4"/>
  <c r="X32" i="4"/>
  <c r="V32" i="4"/>
  <c r="U32" i="4"/>
  <c r="S32" i="4"/>
  <c r="Q32" i="4"/>
  <c r="AF31" i="4"/>
  <c r="AE31" i="4"/>
  <c r="AC31" i="4"/>
  <c r="AA31" i="4"/>
  <c r="Y31" i="4"/>
  <c r="X31" i="4"/>
  <c r="V31" i="4"/>
  <c r="U31" i="4"/>
  <c r="S31" i="4"/>
  <c r="Q31" i="4"/>
  <c r="AF30" i="4"/>
  <c r="AE30" i="4"/>
  <c r="AC30" i="4"/>
  <c r="AA30" i="4"/>
  <c r="Y30" i="4"/>
  <c r="X30" i="4"/>
  <c r="V30" i="4"/>
  <c r="U30" i="4"/>
  <c r="S30" i="4"/>
  <c r="Q30" i="4"/>
  <c r="AF29" i="4"/>
  <c r="AE29" i="4"/>
  <c r="AC29" i="4"/>
  <c r="AA29" i="4"/>
  <c r="Y29" i="4"/>
  <c r="X29" i="4"/>
  <c r="V29" i="4"/>
  <c r="U29" i="4"/>
  <c r="S29" i="4"/>
  <c r="Q29" i="4"/>
  <c r="AF28" i="4"/>
  <c r="AE28" i="4"/>
  <c r="AC28" i="4"/>
  <c r="AA28" i="4"/>
  <c r="Y28" i="4"/>
  <c r="X28" i="4"/>
  <c r="V28" i="4"/>
  <c r="U28" i="4"/>
  <c r="S28" i="4"/>
  <c r="Q28" i="4"/>
  <c r="AF27" i="4"/>
  <c r="AE27" i="4"/>
  <c r="AC27" i="4"/>
  <c r="AA27" i="4"/>
  <c r="Y27" i="4"/>
  <c r="X27" i="4"/>
  <c r="V27" i="4"/>
  <c r="U27" i="4"/>
  <c r="S27" i="4"/>
  <c r="Q27" i="4"/>
  <c r="AF26" i="4"/>
  <c r="AE26" i="4"/>
  <c r="AC26" i="4"/>
  <c r="AA26" i="4"/>
  <c r="Y26" i="4"/>
  <c r="X26" i="4"/>
  <c r="V26" i="4"/>
  <c r="U26" i="4"/>
  <c r="S26" i="4"/>
  <c r="Q26" i="4"/>
  <c r="AF25" i="4"/>
  <c r="AE25" i="4"/>
  <c r="AC25" i="4"/>
  <c r="AA25" i="4"/>
  <c r="Y25" i="4"/>
  <c r="X25" i="4"/>
  <c r="V25" i="4"/>
  <c r="U25" i="4"/>
  <c r="S25" i="4"/>
  <c r="Q25" i="4"/>
  <c r="AF24" i="4"/>
  <c r="AE24" i="4"/>
  <c r="AC24" i="4"/>
  <c r="AA24" i="4"/>
  <c r="Y24" i="4"/>
  <c r="X24" i="4"/>
  <c r="V24" i="4"/>
  <c r="U24" i="4"/>
  <c r="S24" i="4"/>
  <c r="Q24" i="4"/>
  <c r="AF23" i="4"/>
  <c r="AE23" i="4"/>
  <c r="AC23" i="4"/>
  <c r="AA23" i="4"/>
  <c r="Y23" i="4"/>
  <c r="X23" i="4"/>
  <c r="V23" i="4"/>
  <c r="U23" i="4"/>
  <c r="S23" i="4"/>
  <c r="Q23" i="4"/>
  <c r="AF22" i="4"/>
  <c r="AE22" i="4"/>
  <c r="AC22" i="4"/>
  <c r="AA22" i="4"/>
  <c r="Y22" i="4"/>
  <c r="X22" i="4"/>
  <c r="V22" i="4"/>
  <c r="U22" i="4"/>
  <c r="S22" i="4"/>
  <c r="Q22" i="4"/>
  <c r="AF21" i="4"/>
  <c r="AE21" i="4"/>
  <c r="AC21" i="4"/>
  <c r="AA21" i="4"/>
  <c r="Y21" i="4"/>
  <c r="X21" i="4"/>
  <c r="V21" i="4"/>
  <c r="U21" i="4"/>
  <c r="S21" i="4"/>
  <c r="Q21" i="4"/>
  <c r="AF20" i="4"/>
  <c r="AE20" i="4"/>
  <c r="AC20" i="4"/>
  <c r="AA20" i="4"/>
  <c r="Y20" i="4"/>
  <c r="X20" i="4"/>
  <c r="V20" i="4"/>
  <c r="U20" i="4"/>
  <c r="S20" i="4"/>
  <c r="Q20" i="4"/>
  <c r="AF19" i="4"/>
  <c r="AE19" i="4"/>
  <c r="AC19" i="4"/>
  <c r="AA19" i="4"/>
  <c r="Y19" i="4"/>
  <c r="X19" i="4"/>
  <c r="V19" i="4"/>
  <c r="U19" i="4"/>
  <c r="S19" i="4"/>
  <c r="Q19" i="4"/>
  <c r="AF18" i="4"/>
  <c r="AE18" i="4"/>
  <c r="AC18" i="4"/>
  <c r="AA18" i="4"/>
  <c r="Y18" i="4"/>
  <c r="X18" i="4"/>
  <c r="V18" i="4"/>
  <c r="U18" i="4"/>
  <c r="S18" i="4"/>
  <c r="Q18" i="4"/>
  <c r="AF17" i="4"/>
  <c r="AE17" i="4"/>
  <c r="AC17" i="4"/>
  <c r="AA17" i="4"/>
  <c r="Y17" i="4"/>
  <c r="X17" i="4"/>
  <c r="V17" i="4"/>
  <c r="U17" i="4"/>
  <c r="S17" i="4"/>
  <c r="Q17" i="4"/>
  <c r="AF16" i="4"/>
  <c r="AE16" i="4"/>
  <c r="AC16" i="4"/>
  <c r="AA16" i="4"/>
  <c r="Y16" i="4"/>
  <c r="X16" i="4"/>
  <c r="V16" i="4"/>
  <c r="U16" i="4"/>
  <c r="S16" i="4"/>
  <c r="Q16" i="4"/>
  <c r="AF15" i="4"/>
  <c r="AE15" i="4"/>
  <c r="AC15" i="4"/>
  <c r="AA15" i="4"/>
  <c r="Y15" i="4"/>
  <c r="X15" i="4"/>
  <c r="V15" i="4"/>
  <c r="U15" i="4"/>
  <c r="S15" i="4"/>
  <c r="Q15" i="4"/>
  <c r="AF14" i="4"/>
  <c r="AE14" i="4"/>
  <c r="AC14" i="4"/>
  <c r="AA14" i="4"/>
  <c r="Y14" i="4"/>
  <c r="X14" i="4"/>
  <c r="V14" i="4"/>
  <c r="U14" i="4"/>
  <c r="S14" i="4"/>
  <c r="Q14" i="4"/>
  <c r="AF13" i="4"/>
  <c r="AE13" i="4"/>
  <c r="AC13" i="4"/>
  <c r="AA13" i="4"/>
  <c r="Y13" i="4"/>
  <c r="X13" i="4"/>
  <c r="V13" i="4"/>
  <c r="U13" i="4"/>
  <c r="S13" i="4"/>
  <c r="Q13" i="4"/>
  <c r="AF12" i="4"/>
  <c r="AE12" i="4"/>
  <c r="AC12" i="4"/>
  <c r="AA12" i="4"/>
  <c r="Y12" i="4"/>
  <c r="X12" i="4"/>
  <c r="V12" i="4"/>
  <c r="U12" i="4"/>
  <c r="S12" i="4"/>
  <c r="Q12" i="4"/>
  <c r="AF11" i="4"/>
  <c r="AE11" i="4"/>
  <c r="AC11" i="4"/>
  <c r="AA11" i="4"/>
  <c r="Y11" i="4"/>
  <c r="X11" i="4"/>
  <c r="V11" i="4"/>
  <c r="U11" i="4"/>
  <c r="S11" i="4"/>
  <c r="Q11" i="4"/>
  <c r="AF10" i="4"/>
  <c r="AE10" i="4"/>
  <c r="AC10" i="4"/>
  <c r="AA10" i="4"/>
  <c r="Y10" i="4"/>
  <c r="X10" i="4"/>
  <c r="V10" i="4"/>
  <c r="U10" i="4"/>
  <c r="S10" i="4"/>
  <c r="Q10" i="4"/>
  <c r="AF9" i="4"/>
  <c r="AE9" i="4"/>
  <c r="AC9" i="4"/>
  <c r="AA9" i="4"/>
  <c r="Y9" i="4"/>
  <c r="X9" i="4"/>
  <c r="V9" i="4"/>
  <c r="U9" i="4"/>
  <c r="S9" i="4"/>
  <c r="Q9" i="4"/>
  <c r="AF8" i="4"/>
  <c r="AE8" i="4"/>
  <c r="AC8" i="4"/>
  <c r="AA8" i="4"/>
  <c r="Y8" i="4"/>
  <c r="X8" i="4"/>
  <c r="V8" i="4"/>
  <c r="U8" i="4"/>
  <c r="S8" i="4"/>
  <c r="Q8" i="4"/>
  <c r="AF7" i="4"/>
  <c r="AE7" i="4"/>
  <c r="AC7" i="4"/>
  <c r="AA7" i="4"/>
  <c r="Y7" i="4"/>
  <c r="X7" i="4"/>
  <c r="V7" i="4"/>
  <c r="U7" i="4"/>
  <c r="S7" i="4"/>
  <c r="Q7" i="4"/>
  <c r="AF6" i="4"/>
  <c r="AE6" i="4"/>
  <c r="AC6" i="4"/>
  <c r="AA6" i="4"/>
  <c r="Y6" i="4"/>
  <c r="X6" i="4"/>
  <c r="V6" i="4"/>
  <c r="U6" i="4"/>
  <c r="S6" i="4"/>
  <c r="Q6" i="4"/>
  <c r="AF5" i="4"/>
  <c r="AE5" i="4"/>
  <c r="AC5" i="4"/>
  <c r="AA5" i="4"/>
  <c r="Y5" i="4"/>
  <c r="X5" i="4"/>
  <c r="V5" i="4"/>
  <c r="U5" i="4"/>
  <c r="S5" i="4"/>
  <c r="Q5" i="4"/>
  <c r="AF4" i="4"/>
  <c r="AE4" i="4"/>
  <c r="AC4" i="4"/>
  <c r="AA4" i="4"/>
  <c r="Y4" i="4"/>
  <c r="X4" i="4"/>
  <c r="V4" i="4"/>
  <c r="U4" i="4"/>
  <c r="S4" i="4"/>
  <c r="Q4" i="4"/>
  <c r="AE53" i="3"/>
  <c r="AC53" i="3"/>
  <c r="AA53" i="3"/>
  <c r="Y53" i="3"/>
  <c r="W53" i="3"/>
  <c r="U53" i="3"/>
  <c r="S53" i="3"/>
  <c r="AE52" i="3"/>
  <c r="AC52" i="3"/>
  <c r="AA52" i="3"/>
  <c r="Y52" i="3"/>
  <c r="W52" i="3"/>
  <c r="U52" i="3"/>
  <c r="S52" i="3"/>
  <c r="AE51" i="3"/>
  <c r="AC51" i="3"/>
  <c r="AA51" i="3"/>
  <c r="Y51" i="3"/>
  <c r="W51" i="3"/>
  <c r="U51" i="3"/>
  <c r="S51" i="3"/>
  <c r="AE50" i="3"/>
  <c r="AC50" i="3"/>
  <c r="AA50" i="3"/>
  <c r="Y50" i="3"/>
  <c r="W50" i="3"/>
  <c r="U50" i="3"/>
  <c r="S50" i="3"/>
  <c r="AE49" i="3"/>
  <c r="AC49" i="3"/>
  <c r="AA49" i="3"/>
  <c r="Y49" i="3"/>
  <c r="W49" i="3"/>
  <c r="U49" i="3"/>
  <c r="S49" i="3"/>
  <c r="AE48" i="3"/>
  <c r="AC48" i="3"/>
  <c r="AA48" i="3"/>
  <c r="Y48" i="3"/>
  <c r="W48" i="3"/>
  <c r="U48" i="3"/>
  <c r="S48" i="3"/>
  <c r="AE47" i="3"/>
  <c r="AC47" i="3"/>
  <c r="AA47" i="3"/>
  <c r="Y47" i="3"/>
  <c r="W47" i="3"/>
  <c r="U47" i="3"/>
  <c r="S47" i="3"/>
  <c r="AE46" i="3"/>
  <c r="AC46" i="3"/>
  <c r="AA46" i="3"/>
  <c r="Y46" i="3"/>
  <c r="W46" i="3"/>
  <c r="U46" i="3"/>
  <c r="S46" i="3"/>
  <c r="AE45" i="3"/>
  <c r="AC45" i="3"/>
  <c r="AA45" i="3"/>
  <c r="Y45" i="3"/>
  <c r="W45" i="3"/>
  <c r="U45" i="3"/>
  <c r="S45" i="3"/>
  <c r="AE44" i="3"/>
  <c r="AC44" i="3"/>
  <c r="AA44" i="3"/>
  <c r="Y44" i="3"/>
  <c r="W44" i="3"/>
  <c r="U44" i="3"/>
  <c r="S44" i="3"/>
  <c r="AE43" i="3"/>
  <c r="AC43" i="3"/>
  <c r="AA43" i="3"/>
  <c r="Y43" i="3"/>
  <c r="W43" i="3"/>
  <c r="U43" i="3"/>
  <c r="S43" i="3"/>
  <c r="AE42" i="3"/>
  <c r="AC42" i="3"/>
  <c r="AA42" i="3"/>
  <c r="Y42" i="3"/>
  <c r="W42" i="3"/>
  <c r="U42" i="3"/>
  <c r="S42" i="3"/>
  <c r="AE41" i="3"/>
  <c r="AC41" i="3"/>
  <c r="AA41" i="3"/>
  <c r="Y41" i="3"/>
  <c r="W41" i="3"/>
  <c r="U41" i="3"/>
  <c r="S41" i="3"/>
  <c r="AE40" i="3"/>
  <c r="AC40" i="3"/>
  <c r="AA40" i="3"/>
  <c r="Y40" i="3"/>
  <c r="W40" i="3"/>
  <c r="U40" i="3"/>
  <c r="S40" i="3"/>
  <c r="AE39" i="3"/>
  <c r="AC39" i="3"/>
  <c r="AA39" i="3"/>
  <c r="Y39" i="3"/>
  <c r="W39" i="3"/>
  <c r="U39" i="3"/>
  <c r="S39" i="3"/>
  <c r="AE38" i="3"/>
  <c r="AC38" i="3"/>
  <c r="AA38" i="3"/>
  <c r="Y38" i="3"/>
  <c r="W38" i="3"/>
  <c r="U38" i="3"/>
  <c r="S38" i="3"/>
  <c r="AE37" i="3"/>
  <c r="AC37" i="3"/>
  <c r="AA37" i="3"/>
  <c r="Y37" i="3"/>
  <c r="W37" i="3"/>
  <c r="U37" i="3"/>
  <c r="S37" i="3"/>
  <c r="AE36" i="3"/>
  <c r="AC36" i="3"/>
  <c r="AA36" i="3"/>
  <c r="Y36" i="3"/>
  <c r="W36" i="3"/>
  <c r="U36" i="3"/>
  <c r="S36" i="3"/>
  <c r="AE35" i="3"/>
  <c r="AC35" i="3"/>
  <c r="AA35" i="3"/>
  <c r="Y35" i="3"/>
  <c r="W35" i="3"/>
  <c r="U35" i="3"/>
  <c r="S35" i="3"/>
  <c r="AE34" i="3"/>
  <c r="AC34" i="3"/>
  <c r="AA34" i="3"/>
  <c r="Y34" i="3"/>
  <c r="W34" i="3"/>
  <c r="U34" i="3"/>
  <c r="S34" i="3"/>
  <c r="AE33" i="3"/>
  <c r="AC33" i="3"/>
  <c r="AA33" i="3"/>
  <c r="Y33" i="3"/>
  <c r="W33" i="3"/>
  <c r="U33" i="3"/>
  <c r="S33" i="3"/>
  <c r="AE32" i="3"/>
  <c r="AC32" i="3"/>
  <c r="AA32" i="3"/>
  <c r="Y32" i="3"/>
  <c r="W32" i="3"/>
  <c r="U32" i="3"/>
  <c r="S32" i="3"/>
  <c r="AE31" i="3"/>
  <c r="AC31" i="3"/>
  <c r="AA31" i="3"/>
  <c r="Y31" i="3"/>
  <c r="W31" i="3"/>
  <c r="U31" i="3"/>
  <c r="S31" i="3"/>
  <c r="AE30" i="3"/>
  <c r="AC30" i="3"/>
  <c r="AA30" i="3"/>
  <c r="Y30" i="3"/>
  <c r="W30" i="3"/>
  <c r="U30" i="3"/>
  <c r="S30" i="3"/>
  <c r="AE29" i="3"/>
  <c r="AC29" i="3"/>
  <c r="AA29" i="3"/>
  <c r="Y29" i="3"/>
  <c r="W29" i="3"/>
  <c r="U29" i="3"/>
  <c r="S29" i="3"/>
  <c r="AE28" i="3"/>
  <c r="AC28" i="3"/>
  <c r="AA28" i="3"/>
  <c r="Y28" i="3"/>
  <c r="W28" i="3"/>
  <c r="U28" i="3"/>
  <c r="S28" i="3"/>
  <c r="AE27" i="3"/>
  <c r="AC27" i="3"/>
  <c r="AA27" i="3"/>
  <c r="Y27" i="3"/>
  <c r="W27" i="3"/>
  <c r="U27" i="3"/>
  <c r="S27" i="3"/>
  <c r="AE26" i="3"/>
  <c r="AC26" i="3"/>
  <c r="AA26" i="3"/>
  <c r="Y26" i="3"/>
  <c r="W26" i="3"/>
  <c r="U26" i="3"/>
  <c r="S26" i="3"/>
  <c r="AE25" i="3"/>
  <c r="AC25" i="3"/>
  <c r="AA25" i="3"/>
  <c r="Y25" i="3"/>
  <c r="W25" i="3"/>
  <c r="U25" i="3"/>
  <c r="S25" i="3"/>
  <c r="AE24" i="3"/>
  <c r="AC24" i="3"/>
  <c r="AA24" i="3"/>
  <c r="Y24" i="3"/>
  <c r="W24" i="3"/>
  <c r="U24" i="3"/>
  <c r="S24" i="3"/>
  <c r="AE23" i="3"/>
  <c r="AC23" i="3"/>
  <c r="AA23" i="3"/>
  <c r="Y23" i="3"/>
  <c r="W23" i="3"/>
  <c r="U23" i="3"/>
  <c r="S23" i="3"/>
  <c r="AE22" i="3"/>
  <c r="AC22" i="3"/>
  <c r="AA22" i="3"/>
  <c r="Y22" i="3"/>
  <c r="W22" i="3"/>
  <c r="U22" i="3"/>
  <c r="S22" i="3"/>
  <c r="AE21" i="3"/>
  <c r="AC21" i="3"/>
  <c r="AA21" i="3"/>
  <c r="Y21" i="3"/>
  <c r="W21" i="3"/>
  <c r="U21" i="3"/>
  <c r="S21" i="3"/>
  <c r="AE20" i="3"/>
  <c r="AC20" i="3"/>
  <c r="AA20" i="3"/>
  <c r="Y20" i="3"/>
  <c r="W20" i="3"/>
  <c r="U20" i="3"/>
  <c r="S20" i="3"/>
  <c r="AE19" i="3"/>
  <c r="AC19" i="3"/>
  <c r="AA19" i="3"/>
  <c r="Y19" i="3"/>
  <c r="W19" i="3"/>
  <c r="U19" i="3"/>
  <c r="S19" i="3"/>
  <c r="AE18" i="3"/>
  <c r="AC18" i="3"/>
  <c r="AA18" i="3"/>
  <c r="Y18" i="3"/>
  <c r="W18" i="3"/>
  <c r="U18" i="3"/>
  <c r="S18" i="3"/>
  <c r="AE17" i="3"/>
  <c r="AC17" i="3"/>
  <c r="AA17" i="3"/>
  <c r="Y17" i="3"/>
  <c r="W17" i="3"/>
  <c r="U17" i="3"/>
  <c r="S17" i="3"/>
  <c r="AE16" i="3"/>
  <c r="AC16" i="3"/>
  <c r="AA16" i="3"/>
  <c r="Y16" i="3"/>
  <c r="W16" i="3"/>
  <c r="U16" i="3"/>
  <c r="S16" i="3"/>
  <c r="AE15" i="3"/>
  <c r="AC15" i="3"/>
  <c r="AA15" i="3"/>
  <c r="Y15" i="3"/>
  <c r="W15" i="3"/>
  <c r="U15" i="3"/>
  <c r="S15" i="3"/>
  <c r="AE14" i="3"/>
  <c r="AC14" i="3"/>
  <c r="AA14" i="3"/>
  <c r="Y14" i="3"/>
  <c r="W14" i="3"/>
  <c r="U14" i="3"/>
  <c r="S14" i="3"/>
  <c r="AE13" i="3"/>
  <c r="AC13" i="3"/>
  <c r="AA13" i="3"/>
  <c r="Y13" i="3"/>
  <c r="W13" i="3"/>
  <c r="U13" i="3"/>
  <c r="S13" i="3"/>
  <c r="AE12" i="3"/>
  <c r="AC12" i="3"/>
  <c r="AA12" i="3"/>
  <c r="Y12" i="3"/>
  <c r="W12" i="3"/>
  <c r="U12" i="3"/>
  <c r="S12" i="3"/>
  <c r="AE11" i="3"/>
  <c r="AC11" i="3"/>
  <c r="AA11" i="3"/>
  <c r="Y11" i="3"/>
  <c r="W11" i="3"/>
  <c r="U11" i="3"/>
  <c r="S11" i="3"/>
  <c r="AE10" i="3"/>
  <c r="AC10" i="3"/>
  <c r="AA10" i="3"/>
  <c r="Y10" i="3"/>
  <c r="W10" i="3"/>
  <c r="U10" i="3"/>
  <c r="S10" i="3"/>
  <c r="AE9" i="3"/>
  <c r="AC9" i="3"/>
  <c r="AA9" i="3"/>
  <c r="Y9" i="3"/>
  <c r="W9" i="3"/>
  <c r="U9" i="3"/>
  <c r="S9" i="3"/>
  <c r="AE8" i="3"/>
  <c r="AC8" i="3"/>
  <c r="AA8" i="3"/>
  <c r="Y8" i="3"/>
  <c r="W8" i="3"/>
  <c r="U8" i="3"/>
  <c r="S8" i="3"/>
  <c r="AE7" i="3"/>
  <c r="AC7" i="3"/>
  <c r="AA7" i="3"/>
  <c r="Y7" i="3"/>
  <c r="W7" i="3"/>
  <c r="U7" i="3"/>
  <c r="S7" i="3"/>
  <c r="AE6" i="3"/>
  <c r="AC6" i="3"/>
  <c r="AA6" i="3"/>
  <c r="Y6" i="3"/>
  <c r="W6" i="3"/>
  <c r="U6" i="3"/>
  <c r="S6" i="3"/>
  <c r="AE5" i="3"/>
  <c r="AC5" i="3"/>
  <c r="AA5" i="3"/>
  <c r="Y5" i="3"/>
  <c r="W5" i="3"/>
  <c r="U5" i="3"/>
  <c r="S5" i="3"/>
  <c r="AE4" i="3"/>
  <c r="AC4" i="3"/>
  <c r="AA4" i="3"/>
  <c r="Y4" i="3"/>
  <c r="W4" i="3"/>
  <c r="U4" i="3"/>
  <c r="S4" i="3"/>
  <c r="AE54" i="2"/>
  <c r="AC54" i="2"/>
  <c r="AA54" i="2"/>
  <c r="Y54" i="2"/>
  <c r="W54" i="2"/>
  <c r="U54" i="2"/>
  <c r="S54" i="2"/>
  <c r="AE53" i="2"/>
  <c r="AC53" i="2"/>
  <c r="AA53" i="2"/>
  <c r="Y53" i="2"/>
  <c r="W53" i="2"/>
  <c r="U53" i="2"/>
  <c r="S53" i="2"/>
  <c r="AE52" i="2"/>
  <c r="AC52" i="2"/>
  <c r="AA52" i="2"/>
  <c r="Y52" i="2"/>
  <c r="W52" i="2"/>
  <c r="U52" i="2"/>
  <c r="S52" i="2"/>
  <c r="AE51" i="2"/>
  <c r="AC51" i="2"/>
  <c r="AA51" i="2"/>
  <c r="Y51" i="2"/>
  <c r="W51" i="2"/>
  <c r="U51" i="2"/>
  <c r="S51" i="2"/>
  <c r="AE50" i="2"/>
  <c r="AC50" i="2"/>
  <c r="AA50" i="2"/>
  <c r="Y50" i="2"/>
  <c r="W50" i="2"/>
  <c r="U50" i="2"/>
  <c r="S50" i="2"/>
  <c r="AE49" i="2"/>
  <c r="AC49" i="2"/>
  <c r="AA49" i="2"/>
  <c r="Y49" i="2"/>
  <c r="W49" i="2"/>
  <c r="U49" i="2"/>
  <c r="S49" i="2"/>
  <c r="AE48" i="2"/>
  <c r="AC48" i="2"/>
  <c r="AA48" i="2"/>
  <c r="Y48" i="2"/>
  <c r="W48" i="2"/>
  <c r="U48" i="2"/>
  <c r="S48" i="2"/>
  <c r="AE47" i="2"/>
  <c r="AC47" i="2"/>
  <c r="AA47" i="2"/>
  <c r="Y47" i="2"/>
  <c r="W47" i="2"/>
  <c r="U47" i="2"/>
  <c r="S47" i="2"/>
  <c r="AE46" i="2"/>
  <c r="AC46" i="2"/>
  <c r="AA46" i="2"/>
  <c r="Y46" i="2"/>
  <c r="W46" i="2"/>
  <c r="U46" i="2"/>
  <c r="S46" i="2"/>
  <c r="AE45" i="2"/>
  <c r="AC45" i="2"/>
  <c r="AA45" i="2"/>
  <c r="Y45" i="2"/>
  <c r="W45" i="2"/>
  <c r="U45" i="2"/>
  <c r="S45" i="2"/>
  <c r="AE44" i="2"/>
  <c r="AC44" i="2"/>
  <c r="AA44" i="2"/>
  <c r="Y44" i="2"/>
  <c r="W44" i="2"/>
  <c r="U44" i="2"/>
  <c r="S44" i="2"/>
  <c r="AE43" i="2"/>
  <c r="AC43" i="2"/>
  <c r="AA43" i="2"/>
  <c r="Y43" i="2"/>
  <c r="W43" i="2"/>
  <c r="U43" i="2"/>
  <c r="S43" i="2"/>
  <c r="AE42" i="2"/>
  <c r="AC42" i="2"/>
  <c r="AA42" i="2"/>
  <c r="Y42" i="2"/>
  <c r="W42" i="2"/>
  <c r="U42" i="2"/>
  <c r="S42" i="2"/>
  <c r="AE41" i="2"/>
  <c r="AC41" i="2"/>
  <c r="AA41" i="2"/>
  <c r="Y41" i="2"/>
  <c r="W41" i="2"/>
  <c r="U41" i="2"/>
  <c r="S41" i="2"/>
  <c r="AE40" i="2"/>
  <c r="AC40" i="2"/>
  <c r="AA40" i="2"/>
  <c r="Y40" i="2"/>
  <c r="W40" i="2"/>
  <c r="U40" i="2"/>
  <c r="S40" i="2"/>
  <c r="AE39" i="2"/>
  <c r="AC39" i="2"/>
  <c r="AA39" i="2"/>
  <c r="Y39" i="2"/>
  <c r="W39" i="2"/>
  <c r="U39" i="2"/>
  <c r="S39" i="2"/>
  <c r="AE38" i="2"/>
  <c r="AC38" i="2"/>
  <c r="AA38" i="2"/>
  <c r="Y38" i="2"/>
  <c r="W38" i="2"/>
  <c r="U38" i="2"/>
  <c r="S38" i="2"/>
  <c r="AE37" i="2"/>
  <c r="AC37" i="2"/>
  <c r="AA37" i="2"/>
  <c r="Y37" i="2"/>
  <c r="W37" i="2"/>
  <c r="U37" i="2"/>
  <c r="S37" i="2"/>
  <c r="AE36" i="2"/>
  <c r="AC36" i="2"/>
  <c r="AA36" i="2"/>
  <c r="Y36" i="2"/>
  <c r="W36" i="2"/>
  <c r="U36" i="2"/>
  <c r="S36" i="2"/>
  <c r="AE35" i="2"/>
  <c r="AC35" i="2"/>
  <c r="AA35" i="2"/>
  <c r="Y35" i="2"/>
  <c r="W35" i="2"/>
  <c r="U35" i="2"/>
  <c r="S35" i="2"/>
  <c r="AE34" i="2"/>
  <c r="AC34" i="2"/>
  <c r="AA34" i="2"/>
  <c r="Y34" i="2"/>
  <c r="W34" i="2"/>
  <c r="U34" i="2"/>
  <c r="S34" i="2"/>
  <c r="AE33" i="2"/>
  <c r="AC33" i="2"/>
  <c r="AA33" i="2"/>
  <c r="Y33" i="2"/>
  <c r="W33" i="2"/>
  <c r="U33" i="2"/>
  <c r="S33" i="2"/>
  <c r="AE32" i="2"/>
  <c r="AC32" i="2"/>
  <c r="AA32" i="2"/>
  <c r="Y32" i="2"/>
  <c r="W32" i="2"/>
  <c r="U32" i="2"/>
  <c r="S32" i="2"/>
  <c r="AE31" i="2"/>
  <c r="AC31" i="2"/>
  <c r="AA31" i="2"/>
  <c r="Y31" i="2"/>
  <c r="W31" i="2"/>
  <c r="U31" i="2"/>
  <c r="S31" i="2"/>
  <c r="AE30" i="2"/>
  <c r="AC30" i="2"/>
  <c r="AA30" i="2"/>
  <c r="Y30" i="2"/>
  <c r="W30" i="2"/>
  <c r="U30" i="2"/>
  <c r="S30" i="2"/>
  <c r="AE29" i="2"/>
  <c r="AC29" i="2"/>
  <c r="AA29" i="2"/>
  <c r="Y29" i="2"/>
  <c r="W29" i="2"/>
  <c r="U29" i="2"/>
  <c r="S29" i="2"/>
  <c r="AE28" i="2"/>
  <c r="AC28" i="2"/>
  <c r="AA28" i="2"/>
  <c r="Y28" i="2"/>
  <c r="W28" i="2"/>
  <c r="U28" i="2"/>
  <c r="S28" i="2"/>
  <c r="AE27" i="2"/>
  <c r="AC27" i="2"/>
  <c r="AA27" i="2"/>
  <c r="Y27" i="2"/>
  <c r="W27" i="2"/>
  <c r="U27" i="2"/>
  <c r="S27" i="2"/>
  <c r="AE26" i="2"/>
  <c r="AC26" i="2"/>
  <c r="AA26" i="2"/>
  <c r="Y26" i="2"/>
  <c r="W26" i="2"/>
  <c r="U26" i="2"/>
  <c r="S26" i="2"/>
  <c r="AE25" i="2"/>
  <c r="AC25" i="2"/>
  <c r="AA25" i="2"/>
  <c r="Y25" i="2"/>
  <c r="W25" i="2"/>
  <c r="U25" i="2"/>
  <c r="S25" i="2"/>
  <c r="AE24" i="2"/>
  <c r="AC24" i="2"/>
  <c r="AA24" i="2"/>
  <c r="Y24" i="2"/>
  <c r="W24" i="2"/>
  <c r="U24" i="2"/>
  <c r="S24" i="2"/>
  <c r="AE23" i="2"/>
  <c r="AC23" i="2"/>
  <c r="AA23" i="2"/>
  <c r="Y23" i="2"/>
  <c r="W23" i="2"/>
  <c r="U23" i="2"/>
  <c r="S23" i="2"/>
  <c r="AE22" i="2"/>
  <c r="AC22" i="2"/>
  <c r="AA22" i="2"/>
  <c r="Y22" i="2"/>
  <c r="W22" i="2"/>
  <c r="U22" i="2"/>
  <c r="S22" i="2"/>
  <c r="AE21" i="2"/>
  <c r="AC21" i="2"/>
  <c r="AA21" i="2"/>
  <c r="Y21" i="2"/>
  <c r="W21" i="2"/>
  <c r="U21" i="2"/>
  <c r="S21" i="2"/>
  <c r="AE20" i="2"/>
  <c r="AC20" i="2"/>
  <c r="AA20" i="2"/>
  <c r="Y20" i="2"/>
  <c r="W20" i="2"/>
  <c r="U20" i="2"/>
  <c r="S20" i="2"/>
  <c r="AE19" i="2"/>
  <c r="AC19" i="2"/>
  <c r="AA19" i="2"/>
  <c r="Y19" i="2"/>
  <c r="W19" i="2"/>
  <c r="U19" i="2"/>
  <c r="S19" i="2"/>
  <c r="AE18" i="2"/>
  <c r="AC18" i="2"/>
  <c r="AA18" i="2"/>
  <c r="Y18" i="2"/>
  <c r="W18" i="2"/>
  <c r="U18" i="2"/>
  <c r="S18" i="2"/>
  <c r="AE17" i="2"/>
  <c r="AC17" i="2"/>
  <c r="AA17" i="2"/>
  <c r="Y17" i="2"/>
  <c r="W17" i="2"/>
  <c r="U17" i="2"/>
  <c r="S17" i="2"/>
  <c r="AE16" i="2"/>
  <c r="AC16" i="2"/>
  <c r="AA16" i="2"/>
  <c r="Y16" i="2"/>
  <c r="W16" i="2"/>
  <c r="U16" i="2"/>
  <c r="S16" i="2"/>
  <c r="AE15" i="2"/>
  <c r="AC15" i="2"/>
  <c r="AA15" i="2"/>
  <c r="Y15" i="2"/>
  <c r="W15" i="2"/>
  <c r="U15" i="2"/>
  <c r="S15" i="2"/>
  <c r="AE14" i="2"/>
  <c r="AC14" i="2"/>
  <c r="AA14" i="2"/>
  <c r="Y14" i="2"/>
  <c r="W14" i="2"/>
  <c r="U14" i="2"/>
  <c r="S14" i="2"/>
  <c r="AE13" i="2"/>
  <c r="AC13" i="2"/>
  <c r="AA13" i="2"/>
  <c r="Y13" i="2"/>
  <c r="W13" i="2"/>
  <c r="U13" i="2"/>
  <c r="S13" i="2"/>
  <c r="AE12" i="2"/>
  <c r="AC12" i="2"/>
  <c r="AA12" i="2"/>
  <c r="Y12" i="2"/>
  <c r="W12" i="2"/>
  <c r="U12" i="2"/>
  <c r="S12" i="2"/>
  <c r="AE11" i="2"/>
  <c r="AC11" i="2"/>
  <c r="AA11" i="2"/>
  <c r="Y11" i="2"/>
  <c r="W11" i="2"/>
  <c r="U11" i="2"/>
  <c r="S11" i="2"/>
  <c r="AE10" i="2"/>
  <c r="AC10" i="2"/>
  <c r="AA10" i="2"/>
  <c r="Y10" i="2"/>
  <c r="W10" i="2"/>
  <c r="U10" i="2"/>
  <c r="S10" i="2"/>
  <c r="AE9" i="2"/>
  <c r="AC9" i="2"/>
  <c r="AA9" i="2"/>
  <c r="Y9" i="2"/>
  <c r="W9" i="2"/>
  <c r="U9" i="2"/>
  <c r="S9" i="2"/>
  <c r="AE8" i="2"/>
  <c r="AC8" i="2"/>
  <c r="AA8" i="2"/>
  <c r="Y8" i="2"/>
  <c r="W8" i="2"/>
  <c r="U8" i="2"/>
  <c r="S8" i="2"/>
  <c r="AE7" i="2"/>
  <c r="AC7" i="2"/>
  <c r="AA7" i="2"/>
  <c r="Y7" i="2"/>
  <c r="W7" i="2"/>
  <c r="U7" i="2"/>
  <c r="S7" i="2"/>
  <c r="AE6" i="2"/>
  <c r="AC6" i="2"/>
  <c r="AA6" i="2"/>
  <c r="Y6" i="2"/>
  <c r="W6" i="2"/>
  <c r="U6" i="2"/>
  <c r="S6" i="2"/>
  <c r="AE5" i="2"/>
  <c r="AC5" i="2"/>
  <c r="AA5" i="2"/>
  <c r="Y5" i="2"/>
  <c r="W5" i="2"/>
  <c r="U5" i="2"/>
  <c r="S5" i="2"/>
</calcChain>
</file>

<file path=xl/sharedStrings.xml><?xml version="1.0" encoding="utf-8"?>
<sst xmlns="http://schemas.openxmlformats.org/spreadsheetml/2006/main" count="1975" uniqueCount="1121">
  <si>
    <t xml:space="preserve">HCO3-   </t>
  </si>
  <si>
    <t xml:space="preserve">Ca  </t>
  </si>
  <si>
    <t xml:space="preserve">Cl </t>
  </si>
  <si>
    <t>SO4-2</t>
  </si>
  <si>
    <t>Na</t>
  </si>
  <si>
    <t>K</t>
  </si>
  <si>
    <t>Mg</t>
  </si>
  <si>
    <t>Longitude</t>
  </si>
  <si>
    <t>Ph</t>
  </si>
  <si>
    <t>ORP (mV)</t>
  </si>
  <si>
    <t>EC</t>
  </si>
  <si>
    <t>Temp.</t>
  </si>
  <si>
    <t>DO</t>
  </si>
  <si>
    <t xml:space="preserve">TDS </t>
  </si>
  <si>
    <t>F</t>
  </si>
  <si>
    <t>Fe</t>
  </si>
  <si>
    <t>Mn</t>
  </si>
  <si>
    <t>NO3</t>
  </si>
  <si>
    <r>
      <t>HCO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vertAlign val="superscript"/>
        <sz val="11"/>
        <color theme="1"/>
        <rFont val="Calibri"/>
        <family val="2"/>
        <scheme val="minor"/>
      </rPr>
      <t xml:space="preserve">-   </t>
    </r>
  </si>
  <si>
    <r>
      <t>SO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vertAlign val="superscript"/>
        <sz val="11"/>
        <color theme="1"/>
        <rFont val="Calibri"/>
        <family val="2"/>
        <scheme val="minor"/>
      </rPr>
      <t>-2</t>
    </r>
  </si>
  <si>
    <t>Zinc (as Zn)</t>
  </si>
  <si>
    <t>Total Hardness (as CaCO3)</t>
  </si>
  <si>
    <t>COD</t>
  </si>
  <si>
    <t>BOD</t>
  </si>
  <si>
    <t>As</t>
  </si>
  <si>
    <t>μs/cm</t>
  </si>
  <si>
    <r>
      <rPr>
        <sz val="11"/>
        <color theme="0"/>
        <rFont val="Calibri"/>
        <family val="2"/>
      </rPr>
      <t>°</t>
    </r>
    <r>
      <rPr>
        <sz val="11"/>
        <color theme="0"/>
        <rFont val="Arial"/>
        <family val="2"/>
      </rPr>
      <t>C</t>
    </r>
  </si>
  <si>
    <t>(mg/L)</t>
  </si>
  <si>
    <t>meq/L</t>
  </si>
  <si>
    <t>µg/L</t>
  </si>
  <si>
    <t xml:space="preserve">Sample ID
</t>
  </si>
  <si>
    <t xml:space="preserve">Village
</t>
  </si>
  <si>
    <t>Owner name</t>
  </si>
  <si>
    <t>Date of installation</t>
  </si>
  <si>
    <t>Depth of Borewell</t>
  </si>
  <si>
    <t xml:space="preserve">Latitude
</t>
  </si>
  <si>
    <t>W1</t>
  </si>
  <si>
    <t>Boregaon</t>
  </si>
  <si>
    <t>Ashok Anna Shingade</t>
  </si>
  <si>
    <t>2yr ago</t>
  </si>
  <si>
    <t>W2</t>
  </si>
  <si>
    <t>Boregaon -Shinde mala</t>
  </si>
  <si>
    <t>Sandip Anandrao Gavade</t>
  </si>
  <si>
    <t>W3</t>
  </si>
  <si>
    <t>Rajendra Shinde</t>
  </si>
  <si>
    <t>1.5yr Ago</t>
  </si>
  <si>
    <t>W4</t>
  </si>
  <si>
    <t>Baban Pandurang Salgare</t>
  </si>
  <si>
    <t>1month Ago</t>
  </si>
  <si>
    <t>W5</t>
  </si>
  <si>
    <t>Boregaon(School)</t>
  </si>
  <si>
    <t>Z.P.School Borgaon</t>
  </si>
  <si>
    <t>W6</t>
  </si>
  <si>
    <t>Savitri Ananda Londhe</t>
  </si>
  <si>
    <t>12yrs Ago</t>
  </si>
  <si>
    <t>W7</t>
  </si>
  <si>
    <t>Shakil Sikandar</t>
  </si>
  <si>
    <t>30yrs Ago</t>
  </si>
  <si>
    <t>W8</t>
  </si>
  <si>
    <t>Grampanchayat</t>
  </si>
  <si>
    <t>W9</t>
  </si>
  <si>
    <t>Boregaon - Sidhharth nagar</t>
  </si>
  <si>
    <t>20yr Ago</t>
  </si>
  <si>
    <t>W10</t>
  </si>
  <si>
    <t xml:space="preserve"> Tupari</t>
  </si>
  <si>
    <t>Luxman Patil</t>
  </si>
  <si>
    <t>3 yr ago</t>
  </si>
  <si>
    <t>W11</t>
  </si>
  <si>
    <t>W12</t>
  </si>
  <si>
    <t>Ramchandra Dinkar Patil</t>
  </si>
  <si>
    <t>14 yr ago</t>
  </si>
  <si>
    <t>W13</t>
  </si>
  <si>
    <t>Gaundwadi</t>
  </si>
  <si>
    <t>20 yr ago</t>
  </si>
  <si>
    <t>W14</t>
  </si>
  <si>
    <t>Shahaji Chavan</t>
  </si>
  <si>
    <t>15 yr ago</t>
  </si>
  <si>
    <t>W15</t>
  </si>
  <si>
    <t>Pratap Madhukar Bhosale</t>
  </si>
  <si>
    <t>2 yr ago</t>
  </si>
  <si>
    <t>W16</t>
  </si>
  <si>
    <t>Takari</t>
  </si>
  <si>
    <t>W17</t>
  </si>
  <si>
    <t>W18</t>
  </si>
  <si>
    <t>Ganpat Patil</t>
  </si>
  <si>
    <t>40 yr ago</t>
  </si>
  <si>
    <t>W19</t>
  </si>
  <si>
    <t>Dudhari</t>
  </si>
  <si>
    <t>Mohan Narayan Lakesar</t>
  </si>
  <si>
    <t>W20</t>
  </si>
  <si>
    <t>31 yr ago</t>
  </si>
  <si>
    <t>W21</t>
  </si>
  <si>
    <t>Bahe</t>
  </si>
  <si>
    <t>Jalenra Deshmukh</t>
  </si>
  <si>
    <t>5yr ago</t>
  </si>
  <si>
    <t>W22</t>
  </si>
  <si>
    <t>Shirala</t>
  </si>
  <si>
    <t xml:space="preserve">Mangal  patil </t>
  </si>
  <si>
    <t>13 yr ago</t>
  </si>
  <si>
    <t>W23</t>
  </si>
  <si>
    <t>Machindragad</t>
  </si>
  <si>
    <t>Sambhaji more</t>
  </si>
  <si>
    <t>5 yr ago</t>
  </si>
  <si>
    <t>W24</t>
  </si>
  <si>
    <t>Jaydip Patil</t>
  </si>
  <si>
    <t>1 yr ago</t>
  </si>
  <si>
    <t>W25</t>
  </si>
  <si>
    <t>Omkar gaikwad</t>
  </si>
  <si>
    <t>9 yr ago</t>
  </si>
  <si>
    <t>W26</t>
  </si>
  <si>
    <t>Chetan jadhav</t>
  </si>
  <si>
    <t>W27</t>
  </si>
  <si>
    <t>Satish salunkhe</t>
  </si>
  <si>
    <t>10 yr ago</t>
  </si>
  <si>
    <t>W28</t>
  </si>
  <si>
    <t>Baburav mohite</t>
  </si>
  <si>
    <t>W29</t>
  </si>
  <si>
    <t>Shanta koli</t>
  </si>
  <si>
    <t>W30</t>
  </si>
  <si>
    <t>Dadaso raut</t>
  </si>
  <si>
    <t>W31</t>
  </si>
  <si>
    <t>Vandana Abhijit Patil</t>
  </si>
  <si>
    <t>1.5 month ago</t>
  </si>
  <si>
    <t>W32</t>
  </si>
  <si>
    <t>Junekhed</t>
  </si>
  <si>
    <t>Aananda Shamrao Jadhav</t>
  </si>
  <si>
    <t>2.4yr ago</t>
  </si>
  <si>
    <t>W33</t>
  </si>
  <si>
    <t>Government</t>
  </si>
  <si>
    <t>W34</t>
  </si>
  <si>
    <t>Rahul Patil</t>
  </si>
  <si>
    <t>W35</t>
  </si>
  <si>
    <t>Pratap Patil</t>
  </si>
  <si>
    <t>14yr ago</t>
  </si>
  <si>
    <t>W36</t>
  </si>
  <si>
    <t>Pandurang Sudam Patil</t>
  </si>
  <si>
    <t>4 yr ago</t>
  </si>
  <si>
    <t>W37</t>
  </si>
  <si>
    <t>Mohan Patil</t>
  </si>
  <si>
    <t>15yr ago</t>
  </si>
  <si>
    <t>W38</t>
  </si>
  <si>
    <t>Walwa</t>
  </si>
  <si>
    <t>Devendra Mali</t>
  </si>
  <si>
    <t xml:space="preserve"> 30yr ago</t>
  </si>
  <si>
    <t>W39</t>
  </si>
  <si>
    <t>Balaso Navale</t>
  </si>
  <si>
    <t>67yr ago</t>
  </si>
  <si>
    <t>W40</t>
  </si>
  <si>
    <t>Surekha Patil</t>
  </si>
  <si>
    <t>W41</t>
  </si>
  <si>
    <t>Champabai Mali</t>
  </si>
  <si>
    <t>W42</t>
  </si>
  <si>
    <t>Sagar Bhandare</t>
  </si>
  <si>
    <t>W43</t>
  </si>
  <si>
    <t>Pandurang Mali</t>
  </si>
  <si>
    <t>W44</t>
  </si>
  <si>
    <t>Dattatray Jadhav</t>
  </si>
  <si>
    <t>60yr ago</t>
  </si>
  <si>
    <t>W45</t>
  </si>
  <si>
    <t>Bandu Mali</t>
  </si>
  <si>
    <t>30yr ago</t>
  </si>
  <si>
    <t>W46</t>
  </si>
  <si>
    <t>Mohan Kadam</t>
  </si>
  <si>
    <t xml:space="preserve">1yr ago </t>
  </si>
  <si>
    <t>W47</t>
  </si>
  <si>
    <t>Sadashiv Khot</t>
  </si>
  <si>
    <t>20yr ago</t>
  </si>
  <si>
    <t>W48</t>
  </si>
  <si>
    <t>Shamrao Mali</t>
  </si>
  <si>
    <t>W49</t>
  </si>
  <si>
    <t>Ashok Jadhav</t>
  </si>
  <si>
    <t>25yr ago</t>
  </si>
  <si>
    <t>W50</t>
  </si>
  <si>
    <t>Aananda Ingle</t>
  </si>
  <si>
    <r>
      <t>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 xml:space="preserve">-   </t>
    </r>
  </si>
  <si>
    <t>Meq/L</t>
  </si>
  <si>
    <t>R1</t>
  </si>
  <si>
    <t>Tupari</t>
  </si>
  <si>
    <t>Luxamn Patil</t>
  </si>
  <si>
    <t>3 years ago</t>
  </si>
  <si>
    <t>60ft</t>
  </si>
  <si>
    <t>17.118637°</t>
  </si>
  <si>
    <t>74.356955°</t>
  </si>
  <si>
    <t>R2</t>
  </si>
  <si>
    <t>95ft</t>
  </si>
  <si>
    <t>17.118436°</t>
  </si>
  <si>
    <t>74.357558°</t>
  </si>
  <si>
    <t>R3</t>
  </si>
  <si>
    <t>14 years ago</t>
  </si>
  <si>
    <t>135ft</t>
  </si>
  <si>
    <t>17.115617°</t>
  </si>
  <si>
    <t>74.34720°</t>
  </si>
  <si>
    <t>R4</t>
  </si>
  <si>
    <t>18 years ago</t>
  </si>
  <si>
    <t>165ft</t>
  </si>
  <si>
    <t>17.119191°</t>
  </si>
  <si>
    <t>74.356804°</t>
  </si>
  <si>
    <t>R5</t>
  </si>
  <si>
    <t>20 years ago</t>
  </si>
  <si>
    <t>150ft</t>
  </si>
  <si>
    <t>17.123583°</t>
  </si>
  <si>
    <t>R6</t>
  </si>
  <si>
    <t>17.124272°</t>
  </si>
  <si>
    <t>74.342696°</t>
  </si>
  <si>
    <t>R7</t>
  </si>
  <si>
    <t>12 years ago</t>
  </si>
  <si>
    <t>130ft</t>
  </si>
  <si>
    <t>17.124337°</t>
  </si>
  <si>
    <t>74.347733°</t>
  </si>
  <si>
    <t>R8</t>
  </si>
  <si>
    <t>210ft</t>
  </si>
  <si>
    <t>17.117024°</t>
  </si>
  <si>
    <t>74.344208°</t>
  </si>
  <si>
    <t>R9</t>
  </si>
  <si>
    <t>Vinod Kshirsagar</t>
  </si>
  <si>
    <t>6 years ago</t>
  </si>
  <si>
    <t>195ft</t>
  </si>
  <si>
    <t>17.13533°</t>
  </si>
  <si>
    <t>74.356484°</t>
  </si>
  <si>
    <t>R10</t>
  </si>
  <si>
    <t>120ft</t>
  </si>
  <si>
    <t>17.128234°</t>
  </si>
  <si>
    <t>74.3564970°</t>
  </si>
  <si>
    <t>R11</t>
  </si>
  <si>
    <t>200ft</t>
  </si>
  <si>
    <t>17.135131°</t>
  </si>
  <si>
    <t>74.356785°</t>
  </si>
  <si>
    <t>R12</t>
  </si>
  <si>
    <t>Ganpat patil</t>
  </si>
  <si>
    <t>40 years ago</t>
  </si>
  <si>
    <t>220ft</t>
  </si>
  <si>
    <t>17.133844°</t>
  </si>
  <si>
    <t>74.360125°</t>
  </si>
  <si>
    <t>R13</t>
  </si>
  <si>
    <t>Abhay Patil</t>
  </si>
  <si>
    <t>175ft</t>
  </si>
  <si>
    <t>17.1226015°</t>
  </si>
  <si>
    <t>R14</t>
  </si>
  <si>
    <t>30 years ago</t>
  </si>
  <si>
    <t>17.135291°</t>
  </si>
  <si>
    <t>74.364214°</t>
  </si>
  <si>
    <t>R15</t>
  </si>
  <si>
    <t>Chetan Jadhav</t>
  </si>
  <si>
    <t>5 years ago</t>
  </si>
  <si>
    <t>250ft</t>
  </si>
  <si>
    <t>16.983801°</t>
  </si>
  <si>
    <t>74.131202°</t>
  </si>
  <si>
    <t>R16</t>
  </si>
  <si>
    <t>Ajit Mahajan</t>
  </si>
  <si>
    <t>10yr ago</t>
  </si>
  <si>
    <t>16.983838°</t>
  </si>
  <si>
    <t>74.130602°</t>
  </si>
  <si>
    <t>R17</t>
  </si>
  <si>
    <t>Dashrath Ingole</t>
  </si>
  <si>
    <t>180ft</t>
  </si>
  <si>
    <t>16.984151°</t>
  </si>
  <si>
    <t>74.124325°</t>
  </si>
  <si>
    <t>R18</t>
  </si>
  <si>
    <t>DCC Bank</t>
  </si>
  <si>
    <t>16.984211°</t>
  </si>
  <si>
    <t>74.124059°</t>
  </si>
  <si>
    <t>R19</t>
  </si>
  <si>
    <t>Vijay Patil</t>
  </si>
  <si>
    <t>7yr ago</t>
  </si>
  <si>
    <t>16.929223°</t>
  </si>
  <si>
    <t>74.071083°</t>
  </si>
  <si>
    <t>R20</t>
  </si>
  <si>
    <t>Aniket Patil</t>
  </si>
  <si>
    <t>3yr ago</t>
  </si>
  <si>
    <t>16.929273°</t>
  </si>
  <si>
    <t>74.071204°</t>
  </si>
  <si>
    <t>R21</t>
  </si>
  <si>
    <t>Pravin Salunke</t>
  </si>
  <si>
    <t>9yr ago</t>
  </si>
  <si>
    <t>270ft</t>
  </si>
  <si>
    <t>16.92907°</t>
  </si>
  <si>
    <t>74.072815°</t>
  </si>
  <si>
    <t>R22</t>
  </si>
  <si>
    <t>Natoli</t>
  </si>
  <si>
    <t>Shantanu patil</t>
  </si>
  <si>
    <t>230ft</t>
  </si>
  <si>
    <t>16.984573°</t>
  </si>
  <si>
    <t>74.13246°</t>
  </si>
  <si>
    <t>R23</t>
  </si>
  <si>
    <t>ZP school</t>
  </si>
  <si>
    <t>4yr ago</t>
  </si>
  <si>
    <t>16.928991°</t>
  </si>
  <si>
    <t>74.074596°</t>
  </si>
  <si>
    <t>R24</t>
  </si>
  <si>
    <t>Omkar Nakil</t>
  </si>
  <si>
    <t>23yr ago</t>
  </si>
  <si>
    <t>260ft</t>
  </si>
  <si>
    <t>16.92487°</t>
  </si>
  <si>
    <t>74.080431°</t>
  </si>
  <si>
    <t>R25</t>
  </si>
  <si>
    <t>16 yr ago</t>
  </si>
  <si>
    <t>280ft</t>
  </si>
  <si>
    <t>16.923029°</t>
  </si>
  <si>
    <t>74.08197°</t>
  </si>
  <si>
    <t>R26</t>
  </si>
  <si>
    <t>Ratan Patil</t>
  </si>
  <si>
    <t>16.923901°</t>
  </si>
  <si>
    <t>74.081642°</t>
  </si>
  <si>
    <t>R27</t>
  </si>
  <si>
    <t>17.114488°</t>
  </si>
  <si>
    <t>74.332770°</t>
  </si>
  <si>
    <t>R28</t>
  </si>
  <si>
    <t>17.1143183°</t>
  </si>
  <si>
    <t>74.321618°</t>
  </si>
  <si>
    <t>R29</t>
  </si>
  <si>
    <t>Rethare</t>
  </si>
  <si>
    <t>shreyash more</t>
  </si>
  <si>
    <t>170ft</t>
  </si>
  <si>
    <t>17.152245°</t>
  </si>
  <si>
    <t>74.311271°</t>
  </si>
  <si>
    <t>R30</t>
  </si>
  <si>
    <t>160ft</t>
  </si>
  <si>
    <t>17.118429°</t>
  </si>
  <si>
    <t>74.31189°</t>
  </si>
  <si>
    <t>R31</t>
  </si>
  <si>
    <t>16yr ago</t>
  </si>
  <si>
    <t>17.116402°</t>
  </si>
  <si>
    <t>74.31491°</t>
  </si>
  <si>
    <t>R32</t>
  </si>
  <si>
    <t>mahadev mandir</t>
  </si>
  <si>
    <t>35yr ago</t>
  </si>
  <si>
    <t>158ft</t>
  </si>
  <si>
    <t>17.114992°</t>
  </si>
  <si>
    <t>74.312296°</t>
  </si>
  <si>
    <t>R33</t>
  </si>
  <si>
    <t>17.114935°</t>
  </si>
  <si>
    <t>74.312285°</t>
  </si>
  <si>
    <t>R34</t>
  </si>
  <si>
    <t>225ft</t>
  </si>
  <si>
    <t>17.116485°</t>
  </si>
  <si>
    <t>74.312102°</t>
  </si>
  <si>
    <t>R35</t>
  </si>
  <si>
    <t>Shirate</t>
  </si>
  <si>
    <t>110ft</t>
  </si>
  <si>
    <t>17.132634°</t>
  </si>
  <si>
    <t>74.285603°</t>
  </si>
  <si>
    <t>R36</t>
  </si>
  <si>
    <t>17.126463°</t>
  </si>
  <si>
    <t>74.287573°</t>
  </si>
  <si>
    <t>R37</t>
  </si>
  <si>
    <t>Yedemachindra</t>
  </si>
  <si>
    <t>140ft</t>
  </si>
  <si>
    <t>17.140876°</t>
  </si>
  <si>
    <t>74.285577°</t>
  </si>
  <si>
    <t>R38</t>
  </si>
  <si>
    <t>19 yr ago</t>
  </si>
  <si>
    <t>17.14828°</t>
  </si>
  <si>
    <t>74.28632°</t>
  </si>
  <si>
    <t>R39</t>
  </si>
  <si>
    <t>Mohan patil</t>
  </si>
  <si>
    <t>6 yr ago</t>
  </si>
  <si>
    <t>17.140319°</t>
  </si>
  <si>
    <t>74.341021°</t>
  </si>
  <si>
    <t>R40</t>
  </si>
  <si>
    <t>Abhi potdar</t>
  </si>
  <si>
    <t>2.5yr ago</t>
  </si>
  <si>
    <t>165t</t>
  </si>
  <si>
    <t>17.142435°</t>
  </si>
  <si>
    <t>74.28527°</t>
  </si>
  <si>
    <t>R41</t>
  </si>
  <si>
    <t>Lavanmachi</t>
  </si>
  <si>
    <t>27 yr ago</t>
  </si>
  <si>
    <t>1400ft</t>
  </si>
  <si>
    <t>74.304357°</t>
  </si>
  <si>
    <t>R42</t>
  </si>
  <si>
    <t>Sunil Kadam</t>
  </si>
  <si>
    <t>17.029136°</t>
  </si>
  <si>
    <t>74.348402°</t>
  </si>
  <si>
    <t>R43</t>
  </si>
  <si>
    <t>Sushma Mali</t>
  </si>
  <si>
    <t>12 yr ago</t>
  </si>
  <si>
    <t>17.029135°</t>
  </si>
  <si>
    <t>74.348399°</t>
  </si>
  <si>
    <t>R44</t>
  </si>
  <si>
    <t>Shivaji Patil</t>
  </si>
  <si>
    <t>1.5 yr ago</t>
  </si>
  <si>
    <t>17.02432°</t>
  </si>
  <si>
    <t>74.373725°</t>
  </si>
  <si>
    <t>R45</t>
  </si>
  <si>
    <t>Pandurang Jadhav</t>
  </si>
  <si>
    <t>17.028719°</t>
  </si>
  <si>
    <t>R46</t>
  </si>
  <si>
    <t>Maruti Patil</t>
  </si>
  <si>
    <t>50 yr ago</t>
  </si>
  <si>
    <t>190ft</t>
  </si>
  <si>
    <t>74.355597°</t>
  </si>
  <si>
    <t>R47</t>
  </si>
  <si>
    <t>Chandrakant Kadam</t>
  </si>
  <si>
    <t>11 yr ago</t>
  </si>
  <si>
    <t>17.027757°</t>
  </si>
  <si>
    <t>74.359825°</t>
  </si>
  <si>
    <t>R48</t>
  </si>
  <si>
    <t>Vishnu Mali</t>
  </si>
  <si>
    <t>90ft</t>
  </si>
  <si>
    <t>17.028797°</t>
  </si>
  <si>
    <t>74.35222°</t>
  </si>
  <si>
    <t>R49</t>
  </si>
  <si>
    <t>Sangita Patil</t>
  </si>
  <si>
    <t>R50</t>
  </si>
  <si>
    <t>Sushant Jadhav</t>
  </si>
  <si>
    <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-2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</si>
  <si>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Arial"/>
        <family val="2"/>
      </rPr>
      <t>C</t>
    </r>
  </si>
  <si>
    <t>Ca</t>
  </si>
  <si>
    <t>Cl</t>
  </si>
  <si>
    <t>Latitude</t>
  </si>
  <si>
    <t>mmol/L</t>
  </si>
  <si>
    <t>S1</t>
  </si>
  <si>
    <t>S2</t>
  </si>
  <si>
    <t>S3</t>
  </si>
  <si>
    <t>S4</t>
  </si>
  <si>
    <t>100ft</t>
  </si>
  <si>
    <t>S5</t>
  </si>
  <si>
    <t>150 ft</t>
  </si>
  <si>
    <t>S6</t>
  </si>
  <si>
    <t>S7</t>
  </si>
  <si>
    <t>205ft</t>
  </si>
  <si>
    <t>S8</t>
  </si>
  <si>
    <t>125ft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</si>
  <si>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</si>
  <si>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</si>
  <si>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</si>
  <si>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</si>
  <si>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</si>
  <si>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</si>
  <si>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</si>
  <si>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</si>
  <si>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</si>
  <si>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</si>
  <si>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</si>
  <si>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155ft</t>
  </si>
  <si>
    <t>S20</t>
  </si>
  <si>
    <t>S21</t>
  </si>
  <si>
    <t>45 foot</t>
  </si>
  <si>
    <t>S22</t>
  </si>
  <si>
    <t>240ft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</si>
  <si>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</si>
  <si>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</si>
  <si>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</si>
  <si>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</si>
  <si>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</si>
  <si>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</si>
  <si>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</si>
  <si>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</si>
  <si>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</si>
  <si>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</si>
  <si>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</si>
  <si>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</si>
  <si>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</si>
  <si>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</si>
  <si>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</si>
  <si>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</si>
  <si>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</si>
  <si>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</si>
  <si>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</si>
  <si>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</si>
  <si>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</si>
  <si>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</si>
  <si>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70ft</t>
  </si>
  <si>
    <t>S45</t>
  </si>
  <si>
    <t>S46</t>
  </si>
  <si>
    <t>S47</t>
  </si>
  <si>
    <t>S48</t>
  </si>
  <si>
    <t>S49</t>
  </si>
  <si>
    <t>S50</t>
  </si>
  <si>
    <r>
      <t>HCO</t>
    </r>
    <r>
      <rPr>
        <b/>
        <vertAlign val="subscript"/>
        <sz val="11"/>
        <color theme="0"/>
        <rFont val="Calibri"/>
        <family val="2"/>
        <scheme val="minor"/>
      </rPr>
      <t>3</t>
    </r>
    <r>
      <rPr>
        <b/>
        <vertAlign val="superscript"/>
        <sz val="11"/>
        <color theme="0"/>
        <rFont val="Calibri"/>
        <family val="2"/>
        <scheme val="minor"/>
      </rPr>
      <t xml:space="preserve">-   </t>
    </r>
  </si>
  <si>
    <r>
      <t>SO</t>
    </r>
    <r>
      <rPr>
        <b/>
        <vertAlign val="subscript"/>
        <sz val="11"/>
        <color theme="0"/>
        <rFont val="Calibri"/>
        <family val="2"/>
        <scheme val="minor"/>
      </rPr>
      <t>4</t>
    </r>
    <r>
      <rPr>
        <b/>
        <vertAlign val="superscript"/>
        <sz val="11"/>
        <color theme="0"/>
        <rFont val="Calibri"/>
        <family val="2"/>
        <scheme val="minor"/>
      </rPr>
      <t>-2</t>
    </r>
  </si>
  <si>
    <r>
      <rPr>
        <b/>
        <sz val="11"/>
        <color theme="0"/>
        <rFont val="Calibri"/>
        <family val="2"/>
      </rPr>
      <t>°</t>
    </r>
    <r>
      <rPr>
        <b/>
        <sz val="11"/>
        <color theme="0"/>
        <rFont val="Arial"/>
        <family val="2"/>
      </rPr>
      <t>C</t>
    </r>
  </si>
  <si>
    <t>Boy (below 18)</t>
  </si>
  <si>
    <t>Girl (below 18)</t>
  </si>
  <si>
    <t>Male (above 18)</t>
  </si>
  <si>
    <t>Female (above 18)</t>
  </si>
  <si>
    <t>TDS</t>
  </si>
  <si>
    <t>ORP</t>
  </si>
  <si>
    <t>Eh</t>
  </si>
  <si>
    <t>Standard Deviation</t>
  </si>
  <si>
    <t>Total As(III)</t>
  </si>
  <si>
    <t>Total As(V)</t>
  </si>
  <si>
    <t>Total As</t>
  </si>
  <si>
    <t>Lithium</t>
  </si>
  <si>
    <t>Nitrate</t>
  </si>
  <si>
    <r>
      <t>HCO</t>
    </r>
    <r>
      <rPr>
        <b/>
        <vertAlign val="subscript"/>
        <sz val="12"/>
        <color theme="1"/>
        <rFont val="Times New Roman"/>
        <family val="1"/>
      </rPr>
      <t>3</t>
    </r>
    <r>
      <rPr>
        <b/>
        <vertAlign val="superscript"/>
        <sz val="12"/>
        <color theme="1"/>
        <rFont val="Times New Roman"/>
        <family val="1"/>
      </rPr>
      <t>-</t>
    </r>
    <r>
      <rPr>
        <b/>
        <sz val="12"/>
        <color theme="1"/>
        <rFont val="Times New Roman"/>
        <family val="1"/>
      </rPr>
      <t xml:space="preserve"> </t>
    </r>
  </si>
  <si>
    <t>Br</t>
  </si>
  <si>
    <t>PO4-3</t>
  </si>
  <si>
    <t xml:space="preserve"> </t>
  </si>
  <si>
    <t>Ca+Mg</t>
  </si>
  <si>
    <t>SO4+HCO3</t>
  </si>
  <si>
    <r>
      <t>Ca</t>
    </r>
    <r>
      <rPr>
        <b/>
        <vertAlign val="superscript"/>
        <sz val="12"/>
        <color theme="1"/>
        <rFont val="Times New Roman"/>
        <family val="1"/>
      </rPr>
      <t xml:space="preserve">+2 </t>
    </r>
    <r>
      <rPr>
        <b/>
        <sz val="12"/>
        <color theme="1"/>
        <rFont val="Times New Roman"/>
        <family val="1"/>
      </rPr>
      <t>+ Mg</t>
    </r>
    <r>
      <rPr>
        <b/>
        <vertAlign val="superscript"/>
        <sz val="12"/>
        <color theme="1"/>
        <rFont val="Times New Roman"/>
        <family val="1"/>
      </rPr>
      <t>+</t>
    </r>
    <r>
      <rPr>
        <b/>
        <sz val="12"/>
        <color theme="1"/>
        <rFont val="Times New Roman"/>
        <family val="1"/>
      </rPr>
      <t xml:space="preserve"> / HCO</t>
    </r>
    <r>
      <rPr>
        <b/>
        <vertAlign val="subscript"/>
        <sz val="12"/>
        <color theme="1"/>
        <rFont val="Times New Roman"/>
        <family val="1"/>
      </rPr>
      <t>3</t>
    </r>
    <r>
      <rPr>
        <b/>
        <vertAlign val="superscript"/>
        <sz val="12"/>
        <color theme="1"/>
        <rFont val="Times New Roman"/>
        <family val="1"/>
      </rPr>
      <t>–</t>
    </r>
    <r>
      <rPr>
        <b/>
        <sz val="12"/>
        <color theme="1"/>
        <rFont val="Times New Roman"/>
        <family val="1"/>
      </rPr>
      <t xml:space="preserve"> </t>
    </r>
  </si>
  <si>
    <t>Na+K</t>
  </si>
  <si>
    <t>Na+K+Ca</t>
  </si>
  <si>
    <t>Na+K/Na+K+Ca</t>
  </si>
  <si>
    <t>Winter season</t>
  </si>
  <si>
    <t>Sample ID</t>
  </si>
  <si>
    <t>LAT</t>
  </si>
  <si>
    <t>LON</t>
  </si>
  <si>
    <t>No</t>
  </si>
  <si>
    <t>Weight</t>
  </si>
  <si>
    <t>Drinking water consumption</t>
  </si>
  <si>
    <r>
      <t>As (</t>
    </r>
    <r>
      <rPr>
        <b/>
        <sz val="8"/>
        <color rgb="FF000000"/>
        <rFont val="Times New Roman"/>
        <family val="1"/>
      </rPr>
      <t>mgL</t>
    </r>
    <r>
      <rPr>
        <b/>
        <vertAlign val="superscript"/>
        <sz val="8"/>
        <color rgb="FF000000"/>
        <rFont val="Times New Roman"/>
        <family val="1"/>
      </rPr>
      <t>-1</t>
    </r>
    <r>
      <rPr>
        <b/>
        <sz val="8"/>
        <color theme="1"/>
        <rFont val="Times New Roman"/>
        <family val="1"/>
      </rPr>
      <t>)</t>
    </r>
  </si>
  <si>
    <t>CID</t>
  </si>
  <si>
    <t>RfD</t>
  </si>
  <si>
    <t>HI</t>
  </si>
  <si>
    <t>Groundwater table</t>
  </si>
  <si>
    <t>mg/L</t>
  </si>
  <si>
    <t>Total Li</t>
  </si>
  <si>
    <t>Total Na</t>
  </si>
  <si>
    <t xml:space="preserve">Total </t>
  </si>
  <si>
    <t>Total</t>
  </si>
  <si>
    <t>Avg</t>
  </si>
  <si>
    <t>2G1</t>
  </si>
  <si>
    <t>Well depth</t>
  </si>
  <si>
    <t>2G2</t>
  </si>
  <si>
    <t>2G3</t>
  </si>
  <si>
    <t>2G4</t>
  </si>
  <si>
    <t>2G5</t>
  </si>
  <si>
    <t>2G6</t>
  </si>
  <si>
    <t>2G7</t>
  </si>
  <si>
    <t>2G8</t>
  </si>
  <si>
    <t>2G9</t>
  </si>
  <si>
    <t>2G10</t>
  </si>
  <si>
    <t>2G11</t>
  </si>
  <si>
    <t>2G12</t>
  </si>
  <si>
    <t>2G13</t>
  </si>
  <si>
    <t>2G14</t>
  </si>
  <si>
    <t>2G15</t>
  </si>
  <si>
    <t>2G16</t>
  </si>
  <si>
    <t>2G17</t>
  </si>
  <si>
    <t>2G18</t>
  </si>
  <si>
    <t>2G19</t>
  </si>
  <si>
    <t>2G20</t>
  </si>
  <si>
    <t>2G21</t>
  </si>
  <si>
    <t>2G22</t>
  </si>
  <si>
    <t>2G23</t>
  </si>
  <si>
    <t>2G24</t>
  </si>
  <si>
    <t>2G25</t>
  </si>
  <si>
    <t>2G26</t>
  </si>
  <si>
    <t>2G27</t>
  </si>
  <si>
    <t>2G28</t>
  </si>
  <si>
    <t>2G29</t>
  </si>
  <si>
    <t>2G30</t>
  </si>
  <si>
    <t>2G31</t>
  </si>
  <si>
    <t>2G32</t>
  </si>
  <si>
    <t>GMC, Bhangaghar Guwahati</t>
  </si>
  <si>
    <t>Brahmaputra river is water source, Requirement is 42 liter lakh per day</t>
  </si>
  <si>
    <t>2G33</t>
  </si>
  <si>
    <t>Jalukbari Samsti Pandu</t>
  </si>
  <si>
    <t>PWSS, PHED</t>
  </si>
  <si>
    <t>250 ft</t>
  </si>
  <si>
    <t>2G34</t>
  </si>
  <si>
    <t>Jolly Singh, Pandu 6 no. colony</t>
  </si>
  <si>
    <t>Open well, Private well</t>
  </si>
  <si>
    <t>12 ft</t>
  </si>
  <si>
    <t>2G35</t>
  </si>
  <si>
    <t xml:space="preserve">No.4 colony near Ramthakur Temple </t>
  </si>
  <si>
    <t>PHED , 13 Hydrant</t>
  </si>
  <si>
    <t>2G36</t>
  </si>
  <si>
    <t>Tarun Sangh Club, Adhabari colony Pandu</t>
  </si>
  <si>
    <t>2G37</t>
  </si>
  <si>
    <t>New adhabari colony,Jalukbari</t>
  </si>
  <si>
    <t>PHED , 15 Hydrant</t>
  </si>
  <si>
    <t>2G38</t>
  </si>
  <si>
    <t>New colony Dhakiya Bhati, Jalukbari, Pandu</t>
  </si>
  <si>
    <t>PHED , 7 Hydrant</t>
  </si>
  <si>
    <t>2G39</t>
  </si>
  <si>
    <t>Shitala Mandir, New colony, Jalukbari</t>
  </si>
  <si>
    <t xml:space="preserve">Deep tube, </t>
  </si>
  <si>
    <t>180 ft</t>
  </si>
  <si>
    <t>2G40</t>
  </si>
  <si>
    <t>Azad Hind club Near, Auto stand Pandu</t>
  </si>
  <si>
    <t>PHED , 10 Hydrant</t>
  </si>
  <si>
    <t>2G41</t>
  </si>
  <si>
    <t>Tapas Dey, Near Auto rikshwa stand</t>
  </si>
  <si>
    <t>Private well, 20 years before</t>
  </si>
  <si>
    <t>140 ft</t>
  </si>
  <si>
    <t>2G42</t>
  </si>
  <si>
    <t>BBC Colony, Pandu port, near Durga Mandir</t>
  </si>
  <si>
    <t>280 ft</t>
  </si>
  <si>
    <t>2G43</t>
  </si>
  <si>
    <t>Dream land montesari Englis medium school, BBC Colony</t>
  </si>
  <si>
    <t xml:space="preserve">Private well </t>
  </si>
  <si>
    <t>230 ft</t>
  </si>
  <si>
    <t>2G44</t>
  </si>
  <si>
    <t>2G45</t>
  </si>
  <si>
    <t>Tinath Mandir, Loko colony</t>
  </si>
  <si>
    <t>Open well</t>
  </si>
  <si>
    <t>25 ft</t>
  </si>
  <si>
    <t>2G46</t>
  </si>
  <si>
    <t xml:space="preserve">Shakuntala colony, Pandu, near Manasha mandir </t>
  </si>
  <si>
    <t>Deep tube, 300 people</t>
  </si>
  <si>
    <t>2G47</t>
  </si>
  <si>
    <t xml:space="preserve">Thinkana Pukhari, Shakuntala Shitala Mandir </t>
  </si>
  <si>
    <t>Deep tube, 50 family</t>
  </si>
  <si>
    <t>2G48</t>
  </si>
  <si>
    <t>Loko colony, Harijan pati, ward no.2,Pandu Guwahati 12</t>
  </si>
  <si>
    <t>PHED ,more than 5000 people</t>
  </si>
  <si>
    <t>260 ft</t>
  </si>
  <si>
    <t>2G49</t>
  </si>
  <si>
    <t>Near Mukesh Hotel,Pandu Railway Bazar</t>
  </si>
  <si>
    <t>200 ft</t>
  </si>
  <si>
    <t>2G50</t>
  </si>
  <si>
    <t>Mukesh Hotel,Pandu Railway Bazar</t>
  </si>
  <si>
    <t>110 ft</t>
  </si>
  <si>
    <t>Village</t>
  </si>
  <si>
    <t>Name</t>
  </si>
  <si>
    <t>Depth(ft)</t>
  </si>
  <si>
    <t xml:space="preserve">Depth in (M) </t>
  </si>
  <si>
    <t>Year</t>
  </si>
  <si>
    <t>No.of users</t>
  </si>
  <si>
    <t>Lattitude</t>
  </si>
  <si>
    <t>use</t>
  </si>
  <si>
    <t>pH</t>
  </si>
  <si>
    <t>orp calibration</t>
  </si>
  <si>
    <t>HCO3</t>
  </si>
  <si>
    <t>conductivity</t>
  </si>
  <si>
    <t>resistivity</t>
  </si>
  <si>
    <t>salinity</t>
  </si>
  <si>
    <t>temp</t>
  </si>
  <si>
    <t>Hardness</t>
  </si>
  <si>
    <t>Fluoride(mg/L)</t>
  </si>
  <si>
    <t>So42--</t>
  </si>
  <si>
    <t>Mg 2++</t>
  </si>
  <si>
    <t>Al</t>
  </si>
  <si>
    <t>P1</t>
  </si>
  <si>
    <t>Peth</t>
  </si>
  <si>
    <t>Amit  pawar</t>
  </si>
  <si>
    <t>17.0595°</t>
  </si>
  <si>
    <t>74.230403°</t>
  </si>
  <si>
    <t>Domestic use</t>
  </si>
  <si>
    <t>P2</t>
  </si>
  <si>
    <t xml:space="preserve">Raju kamble </t>
  </si>
  <si>
    <t>17.0640°</t>
  </si>
  <si>
    <t>74.230557°</t>
  </si>
  <si>
    <t>P3</t>
  </si>
  <si>
    <t>Javed dhaave</t>
  </si>
  <si>
    <t>17.0594°</t>
  </si>
  <si>
    <t>74.230544°</t>
  </si>
  <si>
    <t>P4</t>
  </si>
  <si>
    <t>Chandrakala Mane</t>
  </si>
  <si>
    <t>17.0593°</t>
  </si>
  <si>
    <t>74.230482°</t>
  </si>
  <si>
    <t>P5</t>
  </si>
  <si>
    <t>Kasegao</t>
  </si>
  <si>
    <t>Nivas Shankar Patil.</t>
  </si>
  <si>
    <t>17.122679°</t>
  </si>
  <si>
    <t>74.18533°</t>
  </si>
  <si>
    <t xml:space="preserve">Irrigation  </t>
  </si>
  <si>
    <t>P6</t>
  </si>
  <si>
    <t>Nerle</t>
  </si>
  <si>
    <t>Dipak Bajarang Mane</t>
  </si>
  <si>
    <t>17.08814°</t>
  </si>
  <si>
    <t>74.221949°</t>
  </si>
  <si>
    <t>P7</t>
  </si>
  <si>
    <t xml:space="preserve"> Harshad Hanumant Mane</t>
  </si>
  <si>
    <t>17.087766°</t>
  </si>
  <si>
    <t>74.22203°</t>
  </si>
  <si>
    <t>P8</t>
  </si>
  <si>
    <t>Bajirao Sitaram Mane</t>
  </si>
  <si>
    <t>17.087723°</t>
  </si>
  <si>
    <t>74.221575°</t>
  </si>
  <si>
    <t>P9</t>
  </si>
  <si>
    <t>Vijay  Kashinath lohar</t>
  </si>
  <si>
    <t>17.088846°</t>
  </si>
  <si>
    <t>74.221739°</t>
  </si>
  <si>
    <t>P10</t>
  </si>
  <si>
    <t>Kedarwadi</t>
  </si>
  <si>
    <t>Mahadev Baburao Salgar</t>
  </si>
  <si>
    <t>17.098304°</t>
  </si>
  <si>
    <t>74.207977°</t>
  </si>
  <si>
    <t>Drinking +Irrigation</t>
  </si>
  <si>
    <t>P11</t>
  </si>
  <si>
    <t>Mahadev Anand Mane</t>
  </si>
  <si>
    <t>17.087716°</t>
  </si>
  <si>
    <t>74.221539°</t>
  </si>
  <si>
    <t>P12</t>
  </si>
  <si>
    <t>Rupesh Patil.</t>
  </si>
  <si>
    <t>17.059389°</t>
  </si>
  <si>
    <t xml:space="preserve"> P15</t>
  </si>
  <si>
    <t>Bhimrao Vishnu Patil.</t>
  </si>
  <si>
    <t>17.122081°</t>
  </si>
  <si>
    <t>74.183409°</t>
  </si>
  <si>
    <t>Drinking +irrigation</t>
  </si>
  <si>
    <t>P17</t>
  </si>
  <si>
    <t>Suhas Waghmode.</t>
  </si>
  <si>
    <t>17.122827°</t>
  </si>
  <si>
    <t>74.18522°</t>
  </si>
  <si>
    <t>P20</t>
  </si>
  <si>
    <t>Ramrao Bapu mangunde</t>
  </si>
  <si>
    <t>17.123312°</t>
  </si>
  <si>
    <t>74.18971°</t>
  </si>
  <si>
    <t>Domestrc use</t>
  </si>
  <si>
    <t>P 25</t>
  </si>
  <si>
    <t>Rasika Anil kale.</t>
  </si>
  <si>
    <t>17.123654°</t>
  </si>
  <si>
    <t>74.119141°</t>
  </si>
  <si>
    <t>P26</t>
  </si>
  <si>
    <t>Mohan Pandurang Misal</t>
  </si>
  <si>
    <t>17.121847°</t>
  </si>
  <si>
    <t>74.18463°</t>
  </si>
  <si>
    <t>P28</t>
  </si>
  <si>
    <t xml:space="preserve">  Vilas Patil.</t>
  </si>
  <si>
    <t>17.123641°</t>
  </si>
  <si>
    <t>74.188664°</t>
  </si>
  <si>
    <t>P36</t>
  </si>
  <si>
    <t>Pramod Patil</t>
  </si>
  <si>
    <t>17.122117°</t>
  </si>
  <si>
    <t>74.184747°</t>
  </si>
  <si>
    <t>Drinking</t>
  </si>
  <si>
    <t>P38</t>
  </si>
  <si>
    <t>Prashant Namdev Kamble.</t>
  </si>
  <si>
    <t>74.18943°</t>
  </si>
  <si>
    <t>P16</t>
  </si>
  <si>
    <t>Kameri</t>
  </si>
  <si>
    <t>Pankaj Kore.</t>
  </si>
  <si>
    <t>17.039959°</t>
  </si>
  <si>
    <t>74.268706°</t>
  </si>
  <si>
    <t>P32</t>
  </si>
  <si>
    <t>Hari jadhav</t>
  </si>
  <si>
    <t>17.006465°</t>
  </si>
  <si>
    <t>74.256008°</t>
  </si>
  <si>
    <t>P24</t>
  </si>
  <si>
    <t xml:space="preserve">Shankar bapu Patil </t>
  </si>
  <si>
    <t>17.005977°</t>
  </si>
  <si>
    <t>74.255678°</t>
  </si>
  <si>
    <t>P22</t>
  </si>
  <si>
    <t>Balaso Matuti Chaugule.</t>
  </si>
  <si>
    <t>17.006007°</t>
  </si>
  <si>
    <t>74.255665°</t>
  </si>
  <si>
    <t>P33</t>
  </si>
  <si>
    <t>Gov.</t>
  </si>
  <si>
    <t>17.010025°</t>
  </si>
  <si>
    <t>74.2647°</t>
  </si>
  <si>
    <t>P35</t>
  </si>
  <si>
    <t>Vikrant Shinde</t>
  </si>
  <si>
    <t>17.010055°</t>
  </si>
  <si>
    <t>74.2560°</t>
  </si>
  <si>
    <t>P37</t>
  </si>
  <si>
    <t>Tanaji Rangrao Patil</t>
  </si>
  <si>
    <t>17.006625°</t>
  </si>
  <si>
    <t>74.257977°</t>
  </si>
  <si>
    <t>P34</t>
  </si>
  <si>
    <t xml:space="preserve">Kameri </t>
  </si>
  <si>
    <t>Namdev Ganpati patil.</t>
  </si>
  <si>
    <t>17.006556°</t>
  </si>
  <si>
    <t>74.257993°</t>
  </si>
  <si>
    <t>P13</t>
  </si>
  <si>
    <t>Sakharam More.</t>
  </si>
  <si>
    <t>17.006208°</t>
  </si>
  <si>
    <t>74.257856°</t>
  </si>
  <si>
    <t>P19</t>
  </si>
  <si>
    <t>Gauri Shivaji  Jadhav.</t>
  </si>
  <si>
    <t>17.006327°</t>
  </si>
  <si>
    <t>74.256364°</t>
  </si>
  <si>
    <t>P14</t>
  </si>
  <si>
    <t>Vithalwadi</t>
  </si>
  <si>
    <t xml:space="preserve">Agricultural </t>
  </si>
  <si>
    <t>17.023345°</t>
  </si>
  <si>
    <t>74.267025°</t>
  </si>
  <si>
    <t>Agricultural</t>
  </si>
  <si>
    <t>P18</t>
  </si>
  <si>
    <t>17.11628°</t>
  </si>
  <si>
    <t>74.264818°</t>
  </si>
  <si>
    <t>P30</t>
  </si>
  <si>
    <t>Vitthalwadi</t>
  </si>
  <si>
    <t>Balu Patil (Openwell)</t>
  </si>
  <si>
    <t>17.036641°</t>
  </si>
  <si>
    <t>74.23986°</t>
  </si>
  <si>
    <t>P21</t>
  </si>
  <si>
    <t>Itkare</t>
  </si>
  <si>
    <t xml:space="preserve">Samrat hotel </t>
  </si>
  <si>
    <t>16.959261°</t>
  </si>
  <si>
    <t>74.272846°</t>
  </si>
  <si>
    <t>P31</t>
  </si>
  <si>
    <t>Waghwadi</t>
  </si>
  <si>
    <t>Vanashri Hotel</t>
  </si>
  <si>
    <t>P46</t>
  </si>
  <si>
    <t>Saundary dresses</t>
  </si>
  <si>
    <t>17.036787°</t>
  </si>
  <si>
    <t>74.239958°</t>
  </si>
  <si>
    <t>city  area</t>
  </si>
  <si>
    <t>P42</t>
  </si>
  <si>
    <t xml:space="preserve">Pet -Islampur </t>
  </si>
  <si>
    <t>Royal cafe</t>
  </si>
  <si>
    <t>17.052909°</t>
  </si>
  <si>
    <t>74.234279°</t>
  </si>
  <si>
    <t>P41</t>
  </si>
  <si>
    <t>Deshmukh oil mill</t>
  </si>
  <si>
    <t>17.05271°</t>
  </si>
  <si>
    <t>74.2344°</t>
  </si>
  <si>
    <t>P40</t>
  </si>
  <si>
    <t>Savari Motors</t>
  </si>
  <si>
    <t>17.054697°</t>
  </si>
  <si>
    <t>74.239537°</t>
  </si>
  <si>
    <t>P29</t>
  </si>
  <si>
    <t>R.k .Dhaba.</t>
  </si>
  <si>
    <t>17.054641°</t>
  </si>
  <si>
    <t>74.2339316°</t>
  </si>
  <si>
    <t>P43</t>
  </si>
  <si>
    <t xml:space="preserve">Islampur </t>
  </si>
  <si>
    <t>Datta Mandir.</t>
  </si>
  <si>
    <t>17.051235°</t>
  </si>
  <si>
    <t>74.247946°</t>
  </si>
  <si>
    <t>P27</t>
  </si>
  <si>
    <t xml:space="preserve">Islampur  </t>
  </si>
  <si>
    <t>Rohit Kachare.</t>
  </si>
  <si>
    <t>P39</t>
  </si>
  <si>
    <t xml:space="preserve">Paras Infrastructure </t>
  </si>
  <si>
    <t>17.051265°</t>
  </si>
  <si>
    <t>74.247338°</t>
  </si>
  <si>
    <t>P23</t>
  </si>
  <si>
    <t>S.R.Patil.</t>
  </si>
  <si>
    <t>17.065901°</t>
  </si>
  <si>
    <t>74.272815°</t>
  </si>
  <si>
    <t>Industry Area</t>
  </si>
  <si>
    <t>P44</t>
  </si>
  <si>
    <t>MIDC Islampur</t>
  </si>
  <si>
    <t xml:space="preserve">Industry </t>
  </si>
  <si>
    <t>P45</t>
  </si>
  <si>
    <t>P47</t>
  </si>
  <si>
    <t>Irrigation</t>
  </si>
  <si>
    <t>P48</t>
  </si>
  <si>
    <t>Domestric use</t>
  </si>
  <si>
    <t>usage</t>
  </si>
  <si>
    <t>remark</t>
  </si>
  <si>
    <t>G1</t>
  </si>
  <si>
    <t>Dadasaheb Patil</t>
  </si>
  <si>
    <t>G2</t>
  </si>
  <si>
    <t>Sachin Patil</t>
  </si>
  <si>
    <t>G3</t>
  </si>
  <si>
    <t>Bhimrao Raghunath Patil</t>
  </si>
  <si>
    <t>G4</t>
  </si>
  <si>
    <t>Sachin Chiwte</t>
  </si>
  <si>
    <t>G5</t>
  </si>
  <si>
    <t>Ram Kulkarni</t>
  </si>
  <si>
    <t>G6</t>
  </si>
  <si>
    <t>Sandeep Mane</t>
  </si>
  <si>
    <t>Drinking+Irrigation</t>
  </si>
  <si>
    <t>G7</t>
  </si>
  <si>
    <t>Laxman Dhas</t>
  </si>
  <si>
    <t>City Area</t>
  </si>
  <si>
    <t>G63</t>
  </si>
  <si>
    <t>Islampur</t>
  </si>
  <si>
    <t>Promod Navale</t>
  </si>
  <si>
    <t>Agriculture</t>
  </si>
  <si>
    <t>G64</t>
  </si>
  <si>
    <t>Sambhaji Gavade</t>
  </si>
  <si>
    <t>Regular</t>
  </si>
  <si>
    <t>G65</t>
  </si>
  <si>
    <t>Ashok Gavade</t>
  </si>
  <si>
    <t>Agriculture &amp; Drinking</t>
  </si>
  <si>
    <t>G66</t>
  </si>
  <si>
    <t>-</t>
  </si>
  <si>
    <t>Daily use</t>
  </si>
  <si>
    <t>G67</t>
  </si>
  <si>
    <t xml:space="preserve">Sachin Kumbhar </t>
  </si>
  <si>
    <t>G68</t>
  </si>
  <si>
    <t>G69</t>
  </si>
  <si>
    <t>G70</t>
  </si>
  <si>
    <t>G71</t>
  </si>
  <si>
    <t>G72</t>
  </si>
  <si>
    <t>G76</t>
  </si>
  <si>
    <t>Rahul Gavade</t>
  </si>
  <si>
    <t>G77</t>
  </si>
  <si>
    <t>Aadinath Chougale</t>
  </si>
  <si>
    <t>G86</t>
  </si>
  <si>
    <t>Vaibhav Phonde</t>
  </si>
  <si>
    <t>G87</t>
  </si>
  <si>
    <t>Amit Kulkarni</t>
  </si>
  <si>
    <t>G88</t>
  </si>
  <si>
    <t>Dilip Vakle</t>
  </si>
  <si>
    <t>G89</t>
  </si>
  <si>
    <t>Rasika Kale</t>
  </si>
  <si>
    <t>G90</t>
  </si>
  <si>
    <t>Indrijeet Patil</t>
  </si>
  <si>
    <t>G91</t>
  </si>
  <si>
    <t>Vilasrao Patil</t>
  </si>
  <si>
    <t>Drinking &amp; Daily</t>
  </si>
  <si>
    <t>G92</t>
  </si>
  <si>
    <t>Rajkumar Shinde</t>
  </si>
  <si>
    <t>G93</t>
  </si>
  <si>
    <t>V.K.Dabane</t>
  </si>
  <si>
    <t>Drink</t>
  </si>
  <si>
    <t>G94</t>
  </si>
  <si>
    <t>Bhagavan Gawade</t>
  </si>
  <si>
    <t>G95</t>
  </si>
  <si>
    <t>Mohamud Kagadi</t>
  </si>
  <si>
    <t>G96</t>
  </si>
  <si>
    <t>Grampanchyat</t>
  </si>
  <si>
    <t>G97</t>
  </si>
  <si>
    <t xml:space="preserve">Ashramshala </t>
  </si>
  <si>
    <t>G136</t>
  </si>
  <si>
    <t>Govt (Islampur)</t>
  </si>
  <si>
    <t>G137</t>
  </si>
  <si>
    <t>Mohan Krishant Pawar</t>
  </si>
  <si>
    <t>G143</t>
  </si>
  <si>
    <t>Village Area</t>
  </si>
  <si>
    <t>G8</t>
  </si>
  <si>
    <t>Sayaji Patil</t>
  </si>
  <si>
    <t>G9</t>
  </si>
  <si>
    <t>Somaji Shinde</t>
  </si>
  <si>
    <t>G10</t>
  </si>
  <si>
    <t>Ashwini Jadhav</t>
  </si>
  <si>
    <t>G11</t>
  </si>
  <si>
    <t>Aaradhana Kadam</t>
  </si>
  <si>
    <t>G12</t>
  </si>
  <si>
    <t>Prakash Wategaonkar</t>
  </si>
  <si>
    <t>G13</t>
  </si>
  <si>
    <t>Ranjeet Nikam</t>
  </si>
  <si>
    <t>G14</t>
  </si>
  <si>
    <t>Somraj patil</t>
  </si>
  <si>
    <t>G15</t>
  </si>
  <si>
    <t>Yogesh patil</t>
  </si>
  <si>
    <t>G16</t>
  </si>
  <si>
    <t>Jayvant Vilas Patil</t>
  </si>
  <si>
    <t>G17</t>
  </si>
  <si>
    <t>Uttam Patil</t>
  </si>
  <si>
    <t>G18</t>
  </si>
  <si>
    <t>Govind Dadu Patil</t>
  </si>
  <si>
    <t>G19</t>
  </si>
  <si>
    <t>Pandurang Dadu Patil</t>
  </si>
  <si>
    <t>G20</t>
  </si>
  <si>
    <t>Shankar Harane</t>
  </si>
  <si>
    <t>G21</t>
  </si>
  <si>
    <t>Ravindra Sarwade</t>
  </si>
  <si>
    <t>Irrigation &amp; Daily</t>
  </si>
  <si>
    <t>G22</t>
  </si>
  <si>
    <t>Jaykar Gavade</t>
  </si>
  <si>
    <t>G23</t>
  </si>
  <si>
    <t>Darshan satpute</t>
  </si>
  <si>
    <t>G24</t>
  </si>
  <si>
    <t>Sanjay Patil</t>
  </si>
  <si>
    <t>Animal feed</t>
  </si>
  <si>
    <t>G25</t>
  </si>
  <si>
    <t xml:space="preserve">Vikas Patil </t>
  </si>
  <si>
    <t>G26</t>
  </si>
  <si>
    <t>Hanmant Pansare</t>
  </si>
  <si>
    <t>construction</t>
  </si>
  <si>
    <t>G27</t>
  </si>
  <si>
    <t>Anil Farne</t>
  </si>
  <si>
    <t>G28</t>
  </si>
  <si>
    <t>Sahebrao Zende</t>
  </si>
  <si>
    <t>Drinking,Irrigaion</t>
  </si>
  <si>
    <t>G29</t>
  </si>
  <si>
    <t>Mahadev Dange</t>
  </si>
  <si>
    <t>G30</t>
  </si>
  <si>
    <t>Unknown</t>
  </si>
  <si>
    <t>G31</t>
  </si>
  <si>
    <t>G32</t>
  </si>
  <si>
    <t>Sagar Shinde</t>
  </si>
  <si>
    <t>G33</t>
  </si>
  <si>
    <t>Sagar Kumbhar</t>
  </si>
  <si>
    <t>G34</t>
  </si>
  <si>
    <t>Mahadev Chavan</t>
  </si>
  <si>
    <t>G35</t>
  </si>
  <si>
    <t>Hanmantrao Mane</t>
  </si>
  <si>
    <t>G36</t>
  </si>
  <si>
    <t>G37</t>
  </si>
  <si>
    <t>Indian Oil petrol Pump</t>
  </si>
  <si>
    <t>G38</t>
  </si>
  <si>
    <t>Ram Mandir</t>
  </si>
  <si>
    <t>G39</t>
  </si>
  <si>
    <t xml:space="preserve">Dhairyshil Patil </t>
  </si>
  <si>
    <t>G40</t>
  </si>
  <si>
    <t>Ravindra Patil</t>
  </si>
  <si>
    <t>G41</t>
  </si>
  <si>
    <t>Rajendra Chavan</t>
  </si>
  <si>
    <t>G42</t>
  </si>
  <si>
    <t>Public</t>
  </si>
  <si>
    <t>G43</t>
  </si>
  <si>
    <t>G44</t>
  </si>
  <si>
    <t>Dhanshree Patil</t>
  </si>
  <si>
    <t>G45</t>
  </si>
  <si>
    <t>Shubham Dange</t>
  </si>
  <si>
    <t>External use</t>
  </si>
  <si>
    <t>G46</t>
  </si>
  <si>
    <t>Aanandrao Patil</t>
  </si>
  <si>
    <t>G47</t>
  </si>
  <si>
    <t>Mohan Phanse</t>
  </si>
  <si>
    <t>G48</t>
  </si>
  <si>
    <t>Nilesh Patil</t>
  </si>
  <si>
    <t>G49</t>
  </si>
  <si>
    <t>G50</t>
  </si>
  <si>
    <t>Balaso Patil</t>
  </si>
  <si>
    <t>G51</t>
  </si>
  <si>
    <t>vitthal Mandir</t>
  </si>
  <si>
    <t>G52</t>
  </si>
  <si>
    <t>Bhairavnath Mandir</t>
  </si>
  <si>
    <t>G53</t>
  </si>
  <si>
    <t>Shashikant Kanse</t>
  </si>
  <si>
    <t>G54</t>
  </si>
  <si>
    <t>shivaji Hinjavate</t>
  </si>
  <si>
    <t>G55</t>
  </si>
  <si>
    <t>G56</t>
  </si>
  <si>
    <t xml:space="preserve">Dilip Patil </t>
  </si>
  <si>
    <t>G57</t>
  </si>
  <si>
    <t>Popat Chavan</t>
  </si>
  <si>
    <t>G58</t>
  </si>
  <si>
    <t>Prakash Patil</t>
  </si>
  <si>
    <t>G59</t>
  </si>
  <si>
    <t xml:space="preserve">Ravind Pawar </t>
  </si>
  <si>
    <t>G60</t>
  </si>
  <si>
    <t>Sandeep Chavan</t>
  </si>
  <si>
    <t>G61</t>
  </si>
  <si>
    <t>G62</t>
  </si>
  <si>
    <t>Ashok Sutar</t>
  </si>
  <si>
    <t>G78</t>
  </si>
  <si>
    <t>G79</t>
  </si>
  <si>
    <t>G80</t>
  </si>
  <si>
    <t>Nitin Patil</t>
  </si>
  <si>
    <t>Drink(Aqua Service)</t>
  </si>
  <si>
    <t>G81</t>
  </si>
  <si>
    <t>Bhimrao Shelake</t>
  </si>
  <si>
    <t>G82</t>
  </si>
  <si>
    <t>Prithvi Shelake</t>
  </si>
  <si>
    <t>Agriculture &amp; Animal feed</t>
  </si>
  <si>
    <t>G83</t>
  </si>
  <si>
    <t>Yashwant Patil</t>
  </si>
  <si>
    <t>Jaysing Patil</t>
  </si>
  <si>
    <t>G85</t>
  </si>
  <si>
    <t>Z.P. School</t>
  </si>
  <si>
    <t>G98</t>
  </si>
  <si>
    <t>G99</t>
  </si>
  <si>
    <t xml:space="preserve">Mohan Lakisar </t>
  </si>
  <si>
    <t>G100</t>
  </si>
  <si>
    <t>Primary School Rethare</t>
  </si>
  <si>
    <t>G101</t>
  </si>
  <si>
    <t>Abhijeet Mali</t>
  </si>
  <si>
    <t>G102</t>
  </si>
  <si>
    <t>Biroba Mandir Rethere</t>
  </si>
  <si>
    <t>G103</t>
  </si>
  <si>
    <t xml:space="preserve">Hanuman Mandir </t>
  </si>
  <si>
    <t>G104</t>
  </si>
  <si>
    <t>G105</t>
  </si>
  <si>
    <t>G106</t>
  </si>
  <si>
    <t>Appaso Kolekar</t>
  </si>
  <si>
    <t>drinking</t>
  </si>
  <si>
    <t>G107</t>
  </si>
  <si>
    <t>vitthal Patil</t>
  </si>
  <si>
    <t>G108</t>
  </si>
  <si>
    <t>Datta Mandir</t>
  </si>
  <si>
    <t>G109</t>
  </si>
  <si>
    <t>Chandrakant Patil</t>
  </si>
  <si>
    <t>G110</t>
  </si>
  <si>
    <t>Grampanchyat near railway</t>
  </si>
  <si>
    <t>G111</t>
  </si>
  <si>
    <t>Gajanan Patil</t>
  </si>
  <si>
    <t>G112</t>
  </si>
  <si>
    <t>Shubhash Patil</t>
  </si>
  <si>
    <t xml:space="preserve">Drinking </t>
  </si>
  <si>
    <t>G113</t>
  </si>
  <si>
    <t>Shankar Patil</t>
  </si>
  <si>
    <t>G114</t>
  </si>
  <si>
    <t>Grampnchyat</t>
  </si>
  <si>
    <t>G115</t>
  </si>
  <si>
    <t>Shubham Pawar</t>
  </si>
  <si>
    <t>G116</t>
  </si>
  <si>
    <t>Shreyas Pawar</t>
  </si>
  <si>
    <t>G117</t>
  </si>
  <si>
    <t xml:space="preserve">Sambhaji Shivaji Chauhule </t>
  </si>
  <si>
    <t>daily use</t>
  </si>
  <si>
    <t>G118</t>
  </si>
  <si>
    <t>Sachin Mahavir Shete</t>
  </si>
  <si>
    <t>G119</t>
  </si>
  <si>
    <t xml:space="preserve">Grampanchayat </t>
  </si>
  <si>
    <t>G120</t>
  </si>
  <si>
    <t>G121</t>
  </si>
  <si>
    <t>Baburao Ramchandra Sawant</t>
  </si>
  <si>
    <t>animals feeding</t>
  </si>
  <si>
    <t>G122</t>
  </si>
  <si>
    <t>Grampanchayat (smashan bhumi)</t>
  </si>
  <si>
    <t>G123</t>
  </si>
  <si>
    <t>Harishchandra Sambhaji Bajabal</t>
  </si>
  <si>
    <t>G124</t>
  </si>
  <si>
    <t>Grampanchayat (bhairavnath mandir)</t>
  </si>
  <si>
    <t>G125</t>
  </si>
  <si>
    <t>Baban Haram Karande</t>
  </si>
  <si>
    <t>G126</t>
  </si>
  <si>
    <t>Balaso Pawar</t>
  </si>
  <si>
    <t>agricultural purpose</t>
  </si>
  <si>
    <t>G127</t>
  </si>
  <si>
    <t>Bhopal Maruti Jadhav</t>
  </si>
  <si>
    <t>driniking and daily purpose</t>
  </si>
  <si>
    <t>G128</t>
  </si>
  <si>
    <t>Uday More</t>
  </si>
  <si>
    <t>driniking and other</t>
  </si>
  <si>
    <t>G129</t>
  </si>
  <si>
    <t>Murtisab Kundi</t>
  </si>
  <si>
    <t>G130</t>
  </si>
  <si>
    <t>Bhagavan Patil</t>
  </si>
  <si>
    <t>G131</t>
  </si>
  <si>
    <t>Grampanchayat gotkhindi</t>
  </si>
  <si>
    <t>G132</t>
  </si>
  <si>
    <t>Hutatma Bazar</t>
  </si>
  <si>
    <t>G133</t>
  </si>
  <si>
    <t>M V Gajare</t>
  </si>
  <si>
    <t>G134</t>
  </si>
  <si>
    <t>Govt</t>
  </si>
  <si>
    <t>G135</t>
  </si>
  <si>
    <t>Govt (Datta Mandir)</t>
  </si>
  <si>
    <t>G138</t>
  </si>
  <si>
    <t>Govt(kapuskhed)</t>
  </si>
  <si>
    <t>G139</t>
  </si>
  <si>
    <t>Govt (Nerle)</t>
  </si>
  <si>
    <t>G140</t>
  </si>
  <si>
    <t>Govt (Kedarwadi)</t>
  </si>
  <si>
    <t>G141</t>
  </si>
  <si>
    <t>Hotel Ruchira Kedarwadi</t>
  </si>
  <si>
    <t>G142</t>
  </si>
  <si>
    <t>maharashtra tyre</t>
  </si>
  <si>
    <t>G144</t>
  </si>
  <si>
    <t>Krushnakumja residantal</t>
  </si>
  <si>
    <t>drinking and daily use</t>
  </si>
  <si>
    <t>Summar Season 2022-23</t>
  </si>
  <si>
    <t>Winter season 2022-23</t>
  </si>
  <si>
    <t>Rainy Seaosn 2022-23</t>
  </si>
  <si>
    <t>Summer season 2025-26</t>
  </si>
  <si>
    <t>Rainy Season 2025-26</t>
  </si>
  <si>
    <t>Winter Season Groundwater samples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</si>
</sst>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4"/>
      <color theme="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6"/>
      <color theme="0"/>
      <name val="Calibri"/>
      <family val="2"/>
      <scheme val="minor"/>
    </font>
    <font>
      <sz val="11"/>
      <color rgb="FF000000"/>
      <name val="Algerian"/>
      <family val="5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vertAlign val="sub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b/>
      <vertAlign val="superscript"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0"/>
      <name val="Times New Roman"/>
      <family val="1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2" fontId="11" fillId="11" borderId="0" xfId="0" applyNumberFormat="1" applyFont="1" applyFill="1" applyAlignment="1">
      <alignment horizontal="center" vertical="center"/>
    </xf>
    <xf numFmtId="2" fontId="11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164" fontId="11" fillId="11" borderId="0" xfId="0" applyNumberFormat="1" applyFont="1" applyFill="1" applyAlignment="1">
      <alignment horizontal="center" vertical="center"/>
    </xf>
    <xf numFmtId="165" fontId="11" fillId="11" borderId="0" xfId="0" applyNumberFormat="1" applyFont="1" applyFill="1" applyAlignment="1">
      <alignment horizontal="center"/>
    </xf>
    <xf numFmtId="0" fontId="0" fillId="11" borderId="0" xfId="0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8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12" borderId="5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164" fontId="14" fillId="0" borderId="9" xfId="0" applyNumberFormat="1" applyFont="1" applyBorder="1" applyAlignment="1">
      <alignment horizontal="center" wrapText="1"/>
    </xf>
    <xf numFmtId="2" fontId="14" fillId="0" borderId="9" xfId="0" applyNumberFormat="1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4" fillId="3" borderId="9" xfId="0" applyFont="1" applyFill="1" applyBorder="1" applyAlignment="1">
      <alignment horizontal="center" wrapText="1"/>
    </xf>
    <xf numFmtId="0" fontId="14" fillId="13" borderId="9" xfId="0" applyFont="1" applyFill="1" applyBorder="1" applyAlignment="1">
      <alignment horizontal="center" wrapText="1"/>
    </xf>
    <xf numFmtId="0" fontId="14" fillId="14" borderId="9" xfId="0" applyFont="1" applyFill="1" applyBorder="1" applyAlignment="1">
      <alignment horizontal="center" wrapText="1"/>
    </xf>
    <xf numFmtId="0" fontId="12" fillId="14" borderId="9" xfId="0" applyFont="1" applyFill="1" applyBorder="1" applyAlignment="1">
      <alignment horizontal="center" wrapText="1"/>
    </xf>
    <xf numFmtId="0" fontId="0" fillId="10" borderId="5" xfId="0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wrapText="1"/>
    </xf>
    <xf numFmtId="164" fontId="14" fillId="0" borderId="10" xfId="0" applyNumberFormat="1" applyFont="1" applyBorder="1" applyAlignment="1">
      <alignment horizontal="center" wrapText="1"/>
    </xf>
    <xf numFmtId="2" fontId="14" fillId="0" borderId="10" xfId="0" applyNumberFormat="1" applyFont="1" applyBorder="1" applyAlignment="1">
      <alignment horizontal="center" wrapText="1"/>
    </xf>
    <xf numFmtId="0" fontId="23" fillId="10" borderId="5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vertical="center" wrapText="1"/>
    </xf>
    <xf numFmtId="0" fontId="14" fillId="0" borderId="0" xfId="0" applyFont="1"/>
    <xf numFmtId="0" fontId="2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26" fillId="0" borderId="5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1" fontId="14" fillId="0" borderId="5" xfId="0" applyNumberFormat="1" applyFont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wrapText="1"/>
    </xf>
    <xf numFmtId="0" fontId="28" fillId="0" borderId="1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5" fillId="12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3" fillId="0" borderId="12" xfId="0" applyFont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 wrapText="1"/>
    </xf>
    <xf numFmtId="0" fontId="34" fillId="15" borderId="3" xfId="0" applyFont="1" applyFill="1" applyBorder="1" applyAlignment="1">
      <alignment horizontal="center" vertical="center" wrapText="1"/>
    </xf>
    <xf numFmtId="164" fontId="35" fillId="15" borderId="5" xfId="0" applyNumberFormat="1" applyFont="1" applyFill="1" applyBorder="1" applyAlignment="1">
      <alignment horizontal="center" vertical="center" wrapText="1"/>
    </xf>
    <xf numFmtId="164" fontId="36" fillId="8" borderId="5" xfId="0" applyNumberFormat="1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 wrapText="1"/>
    </xf>
    <xf numFmtId="0" fontId="35" fillId="15" borderId="3" xfId="0" applyFont="1" applyFill="1" applyBorder="1" applyAlignment="1">
      <alignment horizontal="center" vertical="center" wrapText="1"/>
    </xf>
    <xf numFmtId="0" fontId="35" fillId="15" borderId="5" xfId="0" applyFont="1" applyFill="1" applyBorder="1" applyAlignment="1">
      <alignment horizontal="center" vertical="center" wrapText="1"/>
    </xf>
    <xf numFmtId="0" fontId="36" fillId="8" borderId="5" xfId="0" applyFont="1" applyFill="1" applyBorder="1" applyAlignment="1">
      <alignment horizontal="center" vertical="center"/>
    </xf>
    <xf numFmtId="0" fontId="36" fillId="8" borderId="7" xfId="0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 wrapText="1"/>
    </xf>
    <xf numFmtId="0" fontId="35" fillId="16" borderId="5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35" fillId="17" borderId="5" xfId="0" applyFont="1" applyFill="1" applyBorder="1" applyAlignment="1">
      <alignment horizontal="center" vertical="center" wrapText="1"/>
    </xf>
    <xf numFmtId="0" fontId="35" fillId="18" borderId="5" xfId="0" applyFont="1" applyFill="1" applyBorder="1" applyAlignment="1">
      <alignment horizontal="center" vertical="center"/>
    </xf>
    <xf numFmtId="0" fontId="35" fillId="18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/>
    </xf>
    <xf numFmtId="0" fontId="35" fillId="18" borderId="2" xfId="0" applyFont="1" applyFill="1" applyBorder="1" applyAlignment="1">
      <alignment horizontal="center" vertical="center"/>
    </xf>
    <xf numFmtId="0" fontId="35" fillId="18" borderId="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1" fillId="19" borderId="0" xfId="0" applyFont="1" applyFill="1" applyAlignment="1">
      <alignment horizontal="center" vertical="center" wrapText="1"/>
    </xf>
    <xf numFmtId="0" fontId="0" fillId="11" borderId="5" xfId="0" applyFill="1" applyBorder="1" applyAlignment="1">
      <alignment vertical="center"/>
    </xf>
    <xf numFmtId="0" fontId="42" fillId="20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5" fillId="4" borderId="7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 wrapText="1"/>
    </xf>
    <xf numFmtId="0" fontId="35" fillId="4" borderId="5" xfId="0" applyFont="1" applyFill="1" applyBorder="1" applyAlignment="1">
      <alignment horizontal="center" vertical="center"/>
    </xf>
    <xf numFmtId="0" fontId="35" fillId="16" borderId="7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164" fontId="35" fillId="16" borderId="5" xfId="0" applyNumberFormat="1" applyFont="1" applyFill="1" applyBorder="1" applyAlignment="1">
      <alignment horizontal="center" vertical="center" wrapText="1"/>
    </xf>
    <xf numFmtId="164" fontId="35" fillId="16" borderId="5" xfId="0" applyNumberFormat="1" applyFont="1" applyFill="1" applyBorder="1" applyAlignment="1">
      <alignment horizontal="center" vertical="center"/>
    </xf>
    <xf numFmtId="164" fontId="35" fillId="16" borderId="7" xfId="0" applyNumberFormat="1" applyFont="1" applyFill="1" applyBorder="1" applyAlignment="1">
      <alignment horizontal="center" vertical="center"/>
    </xf>
    <xf numFmtId="0" fontId="35" fillId="21" borderId="7" xfId="0" applyFont="1" applyFill="1" applyBorder="1" applyAlignment="1">
      <alignment horizontal="center" vertical="center"/>
    </xf>
    <xf numFmtId="0" fontId="35" fillId="21" borderId="14" xfId="0" applyFont="1" applyFill="1" applyBorder="1" applyAlignment="1">
      <alignment horizontal="center" vertical="center"/>
    </xf>
    <xf numFmtId="0" fontId="35" fillId="21" borderId="5" xfId="0" applyFont="1" applyFill="1" applyBorder="1" applyAlignment="1">
      <alignment horizontal="center" vertical="center" wrapText="1"/>
    </xf>
    <xf numFmtId="0" fontId="35" fillId="21" borderId="15" xfId="0" applyFont="1" applyFill="1" applyBorder="1" applyAlignment="1">
      <alignment horizontal="center" vertical="center"/>
    </xf>
    <xf numFmtId="0" fontId="35" fillId="17" borderId="7" xfId="0" applyFont="1" applyFill="1" applyBorder="1" applyAlignment="1">
      <alignment horizontal="center" vertical="center" wrapText="1"/>
    </xf>
    <xf numFmtId="0" fontId="35" fillId="17" borderId="14" xfId="0" applyFont="1" applyFill="1" applyBorder="1" applyAlignment="1">
      <alignment horizontal="center" vertical="center" wrapText="1"/>
    </xf>
    <xf numFmtId="0" fontId="35" fillId="17" borderId="5" xfId="0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vertical="center" wrapText="1"/>
    </xf>
    <xf numFmtId="0" fontId="35" fillId="18" borderId="5" xfId="0" applyFont="1" applyFill="1" applyBorder="1" applyAlignment="1">
      <alignment horizontal="center" vertical="center" wrapText="1"/>
    </xf>
    <xf numFmtId="0" fontId="35" fillId="18" borderId="5" xfId="0" applyFont="1" applyFill="1" applyBorder="1" applyAlignment="1">
      <alignment horizontal="center" vertical="center" wrapText="1"/>
    </xf>
    <xf numFmtId="0" fontId="35" fillId="1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top"/>
    </xf>
    <xf numFmtId="164" fontId="0" fillId="0" borderId="13" xfId="0" applyNumberFormat="1" applyBorder="1" applyAlignment="1">
      <alignment horizontal="center" vertical="top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/>
    </xf>
    <xf numFmtId="164" fontId="46" fillId="0" borderId="5" xfId="0" applyNumberFormat="1" applyFont="1" applyBorder="1" applyAlignment="1">
      <alignment horizontal="center" vertical="center"/>
    </xf>
    <xf numFmtId="164" fontId="46" fillId="0" borderId="5" xfId="0" applyNumberFormat="1" applyFont="1" applyBorder="1" applyAlignment="1">
      <alignment horizontal="center"/>
    </xf>
    <xf numFmtId="2" fontId="46" fillId="0" borderId="5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4" fontId="46" fillId="0" borderId="5" xfId="0" applyNumberFormat="1" applyFont="1" applyBorder="1" applyAlignment="1">
      <alignment horizontal="center" wrapText="1"/>
    </xf>
    <xf numFmtId="165" fontId="46" fillId="0" borderId="5" xfId="0" applyNumberFormat="1" applyFont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165" fontId="46" fillId="0" borderId="0" xfId="0" applyNumberFormat="1" applyFont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" fontId="47" fillId="8" borderId="5" xfId="0" applyNumberFormat="1" applyFont="1" applyFill="1" applyBorder="1" applyAlignment="1">
      <alignment horizontal="center" vertical="center"/>
    </xf>
    <xf numFmtId="164" fontId="4" fillId="19" borderId="5" xfId="0" applyNumberFormat="1" applyFont="1" applyFill="1" applyBorder="1" applyAlignment="1">
      <alignment horizontal="center"/>
    </xf>
    <xf numFmtId="2" fontId="46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164" fontId="46" fillId="0" borderId="5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6" xfId="0" applyNumberFormat="1" applyBorder="1" applyAlignment="1">
      <alignment horizontal="center" vertical="center"/>
    </xf>
    <xf numFmtId="0" fontId="0" fillId="18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" fontId="0" fillId="16" borderId="0" xfId="0" applyNumberFormat="1" applyFill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18" borderId="5" xfId="0" applyFill="1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 vertical="center" wrapText="1"/>
    </xf>
    <xf numFmtId="0" fontId="0" fillId="22" borderId="5" xfId="0" applyFill="1" applyBorder="1" applyAlignment="1">
      <alignment horizontal="center"/>
    </xf>
    <xf numFmtId="0" fontId="0" fillId="11" borderId="5" xfId="0" applyFill="1" applyBorder="1"/>
    <xf numFmtId="0" fontId="4" fillId="23" borderId="5" xfId="0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11" borderId="5" xfId="0" applyFill="1" applyBorder="1" applyAlignment="1">
      <alignment horizontal="center"/>
    </xf>
    <xf numFmtId="0" fontId="0" fillId="0" borderId="5" xfId="0" applyBorder="1" applyAlignment="1">
      <alignment horizontal="right"/>
    </xf>
    <xf numFmtId="1" fontId="0" fillId="16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0" fillId="11" borderId="5" xfId="0" applyNumberForma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11" borderId="5" xfId="0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48" fillId="3" borderId="0" xfId="0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0" fontId="48" fillId="3" borderId="11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285750</xdr:colOff>
      <xdr:row>3</xdr:row>
      <xdr:rowOff>19050</xdr:rowOff>
    </xdr:from>
    <xdr:to>
      <xdr:col>23</xdr:col>
      <xdr:colOff>381000</xdr:colOff>
      <xdr:row>3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9D95465-EDA4-49DE-A2E9-70974A945B7F}"/>
            </a:ext>
          </a:extLst>
        </xdr:cNvPr>
        <xdr:cNvCxnSpPr/>
      </xdr:nvCxnSpPr>
      <xdr:spPr>
        <a:xfrm flipV="1">
          <a:off x="16798290" y="384810"/>
          <a:ext cx="95250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E16B-13A6-4298-869E-D3AB8AF5079B}">
  <dimension ref="A1:AJ54"/>
  <sheetViews>
    <sheetView tabSelected="1" workbookViewId="0">
      <selection activeCell="G9" sqref="G9"/>
    </sheetView>
  </sheetViews>
  <sheetFormatPr defaultRowHeight="14.4" x14ac:dyDescent="0.3"/>
  <cols>
    <col min="4" max="4" width="11.77734375" bestFit="1" customWidth="1"/>
    <col min="7" max="7" width="10" bestFit="1" customWidth="1"/>
  </cols>
  <sheetData>
    <row r="1" spans="1:36" ht="42.6" customHeight="1" x14ac:dyDescent="0.3">
      <c r="A1" s="247" t="s">
        <v>1120</v>
      </c>
      <c r="B1" s="247"/>
      <c r="C1" s="247"/>
      <c r="D1" s="247"/>
      <c r="E1" s="247"/>
      <c r="F1" s="247"/>
      <c r="G1" s="247"/>
      <c r="H1" s="1">
        <v>1</v>
      </c>
      <c r="I1" s="1">
        <v>2</v>
      </c>
      <c r="J1" s="1">
        <v>3</v>
      </c>
      <c r="K1" s="1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1">
        <v>13</v>
      </c>
      <c r="U1" s="1">
        <v>14</v>
      </c>
      <c r="V1" s="1">
        <v>15</v>
      </c>
      <c r="W1" s="1">
        <v>16</v>
      </c>
      <c r="X1" s="1">
        <v>17</v>
      </c>
      <c r="Y1" s="1">
        <v>18</v>
      </c>
      <c r="Z1" s="1">
        <v>19</v>
      </c>
      <c r="AA1" s="1">
        <v>20</v>
      </c>
      <c r="AB1" s="1">
        <v>21</v>
      </c>
      <c r="AC1" s="1">
        <v>22</v>
      </c>
      <c r="AD1" s="1">
        <v>23</v>
      </c>
      <c r="AE1" s="1">
        <v>24</v>
      </c>
      <c r="AF1" s="1">
        <v>25</v>
      </c>
      <c r="AG1" s="1">
        <v>26</v>
      </c>
      <c r="AH1" s="1">
        <v>27</v>
      </c>
      <c r="AI1" s="1">
        <v>28</v>
      </c>
      <c r="AJ1" s="1">
        <v>29</v>
      </c>
    </row>
    <row r="2" spans="1:36" ht="57.6" x14ac:dyDescent="0.3">
      <c r="A2" s="96" t="s">
        <v>30</v>
      </c>
      <c r="B2" s="96" t="s">
        <v>31</v>
      </c>
      <c r="C2" s="96" t="s">
        <v>32</v>
      </c>
      <c r="D2" s="96" t="s">
        <v>33</v>
      </c>
      <c r="E2" s="96" t="s">
        <v>34</v>
      </c>
      <c r="F2" s="96" t="s">
        <v>35</v>
      </c>
      <c r="G2" s="96" t="s">
        <v>7</v>
      </c>
      <c r="H2" s="92" t="s">
        <v>8</v>
      </c>
      <c r="I2" s="92" t="s">
        <v>9</v>
      </c>
      <c r="J2" s="50" t="s">
        <v>10</v>
      </c>
      <c r="K2" s="50" t="s">
        <v>11</v>
      </c>
      <c r="L2" s="3" t="s">
        <v>12</v>
      </c>
      <c r="M2" s="3" t="s">
        <v>13</v>
      </c>
      <c r="N2" s="4" t="s">
        <v>14</v>
      </c>
      <c r="O2" s="3" t="s">
        <v>15</v>
      </c>
      <c r="P2" s="3" t="s">
        <v>16</v>
      </c>
      <c r="Q2" s="3" t="s">
        <v>17</v>
      </c>
      <c r="R2" s="93" t="s">
        <v>18</v>
      </c>
      <c r="S2" s="94"/>
      <c r="T2" s="97" t="s">
        <v>1</v>
      </c>
      <c r="U2" s="98"/>
      <c r="V2" s="99" t="s">
        <v>2</v>
      </c>
      <c r="W2" s="100"/>
      <c r="X2" s="101" t="s">
        <v>19</v>
      </c>
      <c r="Y2" s="102"/>
      <c r="Z2" s="103" t="s">
        <v>4</v>
      </c>
      <c r="AA2" s="104"/>
      <c r="AB2" s="105" t="s">
        <v>5</v>
      </c>
      <c r="AC2" s="106"/>
      <c r="AD2" s="90" t="s">
        <v>6</v>
      </c>
      <c r="AE2" s="91"/>
      <c r="AF2" s="3" t="s">
        <v>20</v>
      </c>
      <c r="AG2" s="3" t="s">
        <v>21</v>
      </c>
      <c r="AH2" s="3" t="s">
        <v>22</v>
      </c>
      <c r="AI2" s="3" t="s">
        <v>23</v>
      </c>
      <c r="AJ2" s="3" t="s">
        <v>24</v>
      </c>
    </row>
    <row r="3" spans="1:36" x14ac:dyDescent="0.3">
      <c r="A3" s="96"/>
      <c r="B3" s="96"/>
      <c r="C3" s="96"/>
      <c r="D3" s="96"/>
      <c r="E3" s="96"/>
      <c r="F3" s="96"/>
      <c r="G3" s="96"/>
      <c r="H3" s="92"/>
      <c r="I3" s="92"/>
      <c r="J3" s="52" t="s">
        <v>25</v>
      </c>
      <c r="K3" s="51" t="s">
        <v>26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6" t="s">
        <v>27</v>
      </c>
      <c r="S3" s="6" t="s">
        <v>28</v>
      </c>
      <c r="T3" s="7" t="s">
        <v>27</v>
      </c>
      <c r="U3" s="7" t="s">
        <v>28</v>
      </c>
      <c r="V3" s="8" t="s">
        <v>27</v>
      </c>
      <c r="W3" s="9" t="s">
        <v>28</v>
      </c>
      <c r="X3" s="10" t="s">
        <v>27</v>
      </c>
      <c r="Y3" s="10" t="s">
        <v>28</v>
      </c>
      <c r="Z3" s="11" t="s">
        <v>27</v>
      </c>
      <c r="AA3" s="11" t="s">
        <v>28</v>
      </c>
      <c r="AB3" s="12" t="s">
        <v>27</v>
      </c>
      <c r="AC3" s="12" t="s">
        <v>28</v>
      </c>
      <c r="AD3" s="13" t="s">
        <v>27</v>
      </c>
      <c r="AE3" s="13" t="s">
        <v>28</v>
      </c>
      <c r="AF3" s="5" t="s">
        <v>27</v>
      </c>
      <c r="AG3" s="5" t="s">
        <v>27</v>
      </c>
      <c r="AH3" s="5" t="s">
        <v>27</v>
      </c>
      <c r="AI3" s="5" t="s">
        <v>27</v>
      </c>
      <c r="AJ3" s="3" t="s">
        <v>29</v>
      </c>
    </row>
    <row r="4" spans="1:36" x14ac:dyDescent="0.3">
      <c r="A4" s="2"/>
      <c r="B4" s="14"/>
      <c r="C4" s="14"/>
      <c r="D4" s="14"/>
      <c r="E4" s="14"/>
      <c r="J4" s="1"/>
      <c r="R4" s="2"/>
      <c r="S4" s="2"/>
      <c r="AI4" s="1"/>
    </row>
    <row r="5" spans="1:36" ht="15" x14ac:dyDescent="0.3">
      <c r="A5" s="42" t="s">
        <v>36</v>
      </c>
      <c r="B5" s="43" t="s">
        <v>37</v>
      </c>
      <c r="C5" s="43" t="s">
        <v>38</v>
      </c>
      <c r="D5" s="43" t="s">
        <v>39</v>
      </c>
      <c r="E5" s="15">
        <v>225</v>
      </c>
      <c r="F5" s="15">
        <v>17.073626999999998</v>
      </c>
      <c r="G5" s="15">
        <v>74.303420000000003</v>
      </c>
      <c r="H5" s="15">
        <v>6.86</v>
      </c>
      <c r="I5" s="15">
        <v>160.9</v>
      </c>
      <c r="J5" s="15">
        <v>1096</v>
      </c>
      <c r="K5" s="15">
        <v>30</v>
      </c>
      <c r="L5" s="15">
        <v>1.38</v>
      </c>
      <c r="M5" s="15">
        <v>546</v>
      </c>
      <c r="N5" s="16">
        <v>0.27</v>
      </c>
      <c r="O5" s="17">
        <v>2.0000000000000001E-4</v>
      </c>
      <c r="P5" s="17">
        <v>0.2</v>
      </c>
      <c r="Q5" s="16">
        <v>10</v>
      </c>
      <c r="R5" s="16">
        <v>240</v>
      </c>
      <c r="S5" s="18">
        <f>(R5*1)/61.0168</f>
        <v>3.9333429481716506</v>
      </c>
      <c r="T5" s="15">
        <v>50.15</v>
      </c>
      <c r="U5" s="19">
        <f>(T5*2)/40.078</f>
        <v>2.5026198912121362</v>
      </c>
      <c r="V5" s="17">
        <v>12.3</v>
      </c>
      <c r="W5" s="20">
        <f>(V5*1)/35.45</f>
        <v>0.34696755994358253</v>
      </c>
      <c r="X5" s="16">
        <v>78.900000000000006</v>
      </c>
      <c r="Y5" s="21">
        <f>(X5*2)/96.06</f>
        <v>1.6427232979387882</v>
      </c>
      <c r="Z5" s="16">
        <v>11.01</v>
      </c>
      <c r="AA5" s="18">
        <f>(Z5*1)/22.99</f>
        <v>0.47890387124836886</v>
      </c>
      <c r="AB5" s="15">
        <v>17.899999999999999</v>
      </c>
      <c r="AC5" s="22">
        <f>(AB5*1)/39.01</f>
        <v>0.45885670340938217</v>
      </c>
      <c r="AD5" s="17">
        <v>300.16000000000003</v>
      </c>
      <c r="AE5" s="20">
        <f>(AD5*1)/39.01</f>
        <v>7.6944373237631387</v>
      </c>
      <c r="AF5" s="16">
        <v>1</v>
      </c>
      <c r="AG5" s="16">
        <v>200</v>
      </c>
      <c r="AH5" s="15">
        <v>250</v>
      </c>
      <c r="AI5" s="15">
        <v>30</v>
      </c>
      <c r="AJ5" s="23">
        <v>7.4</v>
      </c>
    </row>
    <row r="6" spans="1:36" ht="15" x14ac:dyDescent="0.3">
      <c r="A6" s="42" t="s">
        <v>40</v>
      </c>
      <c r="B6" s="43" t="s">
        <v>41</v>
      </c>
      <c r="C6" s="43" t="s">
        <v>42</v>
      </c>
      <c r="D6" s="43">
        <v>2012</v>
      </c>
      <c r="E6" s="15">
        <v>180</v>
      </c>
      <c r="F6" s="15">
        <v>17.072846999999999</v>
      </c>
      <c r="G6" s="15">
        <v>74.313062000000002</v>
      </c>
      <c r="H6" s="15">
        <v>7.41</v>
      </c>
      <c r="I6" s="15">
        <v>162.9</v>
      </c>
      <c r="J6" s="15">
        <v>907</v>
      </c>
      <c r="K6" s="15">
        <v>28.42</v>
      </c>
      <c r="L6" s="15">
        <v>1.45</v>
      </c>
      <c r="M6" s="15">
        <v>454</v>
      </c>
      <c r="N6" s="16">
        <v>0.31</v>
      </c>
      <c r="O6" s="17">
        <v>4.0000000000000002E-4</v>
      </c>
      <c r="P6" s="17">
        <v>0</v>
      </c>
      <c r="Q6" s="16">
        <v>1.4</v>
      </c>
      <c r="R6" s="16">
        <v>252</v>
      </c>
      <c r="S6" s="18">
        <f t="shared" ref="S6:S54" si="0">(R6*1)/61.0168</f>
        <v>4.130010095580233</v>
      </c>
      <c r="T6" s="15">
        <v>64.849999999999994</v>
      </c>
      <c r="U6" s="19">
        <f t="shared" ref="U6:U54" si="1">(T6*2)/40.078</f>
        <v>3.2361894306103092</v>
      </c>
      <c r="V6" s="17">
        <v>17.600000000000001</v>
      </c>
      <c r="W6" s="20">
        <f t="shared" ref="W6:W54" si="2">(V6*1)/35.45</f>
        <v>0.49647390691114246</v>
      </c>
      <c r="X6" s="16">
        <v>65.400000000000006</v>
      </c>
      <c r="Y6" s="21">
        <f t="shared" ref="Y6:Y54" si="3">(X6*2)/96.06</f>
        <v>1.3616489693941287</v>
      </c>
      <c r="Z6" s="16">
        <v>12.91</v>
      </c>
      <c r="AA6" s="18">
        <f t="shared" ref="AA6:AA54" si="4">(Z6*1)/22.99</f>
        <v>0.56154849934754247</v>
      </c>
      <c r="AB6" s="15">
        <v>12.89</v>
      </c>
      <c r="AC6" s="22">
        <f t="shared" ref="AC6:AC54" si="5">(AB6*1)/39.01</f>
        <v>0.3304280953601641</v>
      </c>
      <c r="AD6" s="17">
        <v>272.01</v>
      </c>
      <c r="AE6" s="20">
        <f t="shared" ref="AE6:AE54" si="6">(AD6*1)/39.01</f>
        <v>6.972827480133299</v>
      </c>
      <c r="AF6" s="16">
        <v>4.1000000000000002E-2</v>
      </c>
      <c r="AG6" s="16">
        <v>150</v>
      </c>
      <c r="AH6" s="15">
        <v>15.1</v>
      </c>
      <c r="AI6" s="15">
        <v>5</v>
      </c>
      <c r="AJ6" s="23">
        <v>6.48</v>
      </c>
    </row>
    <row r="7" spans="1:36" ht="15" x14ac:dyDescent="0.3">
      <c r="A7" s="42" t="s">
        <v>43</v>
      </c>
      <c r="B7" s="43" t="s">
        <v>41</v>
      </c>
      <c r="C7" s="43" t="s">
        <v>44</v>
      </c>
      <c r="D7" s="43" t="s">
        <v>45</v>
      </c>
      <c r="E7" s="15">
        <v>150</v>
      </c>
      <c r="F7" s="15">
        <v>17.07292</v>
      </c>
      <c r="G7" s="15">
        <v>74.313019999999995</v>
      </c>
      <c r="H7" s="15">
        <v>7.02</v>
      </c>
      <c r="I7" s="15">
        <v>151.4</v>
      </c>
      <c r="J7" s="15">
        <v>1032</v>
      </c>
      <c r="K7" s="15">
        <v>28.88</v>
      </c>
      <c r="L7" s="15">
        <v>1.44</v>
      </c>
      <c r="M7" s="15">
        <v>516</v>
      </c>
      <c r="N7" s="16">
        <v>0.37</v>
      </c>
      <c r="O7" s="17">
        <v>4.0000000000000002E-4</v>
      </c>
      <c r="P7" s="17">
        <v>0</v>
      </c>
      <c r="Q7" s="16">
        <v>0.24</v>
      </c>
      <c r="R7" s="16">
        <v>187</v>
      </c>
      <c r="S7" s="18">
        <f t="shared" si="0"/>
        <v>3.0647297137837448</v>
      </c>
      <c r="T7" s="15">
        <v>56.24</v>
      </c>
      <c r="U7" s="19">
        <f t="shared" si="1"/>
        <v>2.806527271819951</v>
      </c>
      <c r="V7" s="17">
        <v>16.399999999999999</v>
      </c>
      <c r="W7" s="20">
        <f t="shared" si="2"/>
        <v>0.46262341325810996</v>
      </c>
      <c r="X7" s="16">
        <v>57.3</v>
      </c>
      <c r="Y7" s="21">
        <f t="shared" si="3"/>
        <v>1.1930043722673329</v>
      </c>
      <c r="Z7" s="16">
        <v>11.2</v>
      </c>
      <c r="AA7" s="18">
        <f t="shared" si="4"/>
        <v>0.48716833405828619</v>
      </c>
      <c r="AB7" s="15">
        <v>13.87</v>
      </c>
      <c r="AC7" s="22">
        <f t="shared" si="5"/>
        <v>0.35554985901051012</v>
      </c>
      <c r="AD7" s="17">
        <v>200.9</v>
      </c>
      <c r="AE7" s="20">
        <f t="shared" si="6"/>
        <v>5.1499615483209435</v>
      </c>
      <c r="AF7" s="16">
        <v>0.41</v>
      </c>
      <c r="AG7" s="16">
        <v>150</v>
      </c>
      <c r="AH7" s="15">
        <v>24.4</v>
      </c>
      <c r="AI7" s="15">
        <v>4.8</v>
      </c>
      <c r="AJ7" s="23">
        <v>6.1099999999999994</v>
      </c>
    </row>
    <row r="8" spans="1:36" ht="15" x14ac:dyDescent="0.3">
      <c r="A8" s="42" t="s">
        <v>46</v>
      </c>
      <c r="B8" s="43" t="s">
        <v>37</v>
      </c>
      <c r="C8" s="43" t="s">
        <v>47</v>
      </c>
      <c r="D8" s="43" t="s">
        <v>48</v>
      </c>
      <c r="E8" s="15">
        <v>100</v>
      </c>
      <c r="F8" s="15">
        <v>17.073653</v>
      </c>
      <c r="G8" s="15">
        <v>74.324596</v>
      </c>
      <c r="H8" s="15">
        <v>7.25</v>
      </c>
      <c r="I8" s="15">
        <v>138.4</v>
      </c>
      <c r="J8" s="15">
        <v>777</v>
      </c>
      <c r="K8" s="15">
        <v>30.08</v>
      </c>
      <c r="L8" s="15">
        <v>1.47</v>
      </c>
      <c r="M8" s="15">
        <v>388</v>
      </c>
      <c r="N8" s="16">
        <v>0.23</v>
      </c>
      <c r="O8" s="17">
        <v>2.0000000000000001E-4</v>
      </c>
      <c r="P8" s="17">
        <v>5.3999999999999999E-2</v>
      </c>
      <c r="Q8" s="16">
        <v>2.4</v>
      </c>
      <c r="R8" s="16">
        <v>178</v>
      </c>
      <c r="S8" s="18">
        <f t="shared" si="0"/>
        <v>2.9172293532273077</v>
      </c>
      <c r="T8" s="15">
        <v>60.88</v>
      </c>
      <c r="U8" s="19">
        <f t="shared" si="1"/>
        <v>3.0380757522830479</v>
      </c>
      <c r="V8" s="17">
        <v>18.899999999999999</v>
      </c>
      <c r="W8" s="20">
        <f t="shared" si="2"/>
        <v>0.53314527503526088</v>
      </c>
      <c r="X8" s="16">
        <v>56.4</v>
      </c>
      <c r="Y8" s="21">
        <f t="shared" si="3"/>
        <v>1.1742660836976888</v>
      </c>
      <c r="Z8" s="16">
        <v>12.77</v>
      </c>
      <c r="AA8" s="18">
        <f t="shared" si="4"/>
        <v>0.5554588951718139</v>
      </c>
      <c r="AB8" s="15">
        <v>12.9</v>
      </c>
      <c r="AC8" s="22">
        <f t="shared" si="5"/>
        <v>0.33068443988720841</v>
      </c>
      <c r="AD8" s="17">
        <v>193.27</v>
      </c>
      <c r="AE8" s="20">
        <f t="shared" si="6"/>
        <v>4.9543706741861069</v>
      </c>
      <c r="AF8" s="16">
        <v>1.4E-2</v>
      </c>
      <c r="AG8" s="16">
        <v>158</v>
      </c>
      <c r="AH8" s="15">
        <v>15</v>
      </c>
      <c r="AI8" s="15">
        <v>7.1</v>
      </c>
      <c r="AJ8" s="23">
        <v>8.2999999999999989</v>
      </c>
    </row>
    <row r="9" spans="1:36" ht="15" x14ac:dyDescent="0.3">
      <c r="A9" s="42" t="s">
        <v>49</v>
      </c>
      <c r="B9" s="43" t="s">
        <v>50</v>
      </c>
      <c r="C9" s="43" t="s">
        <v>51</v>
      </c>
      <c r="D9" s="43">
        <v>15</v>
      </c>
      <c r="E9" s="15">
        <v>150</v>
      </c>
      <c r="F9" s="15">
        <v>17.080833999999999</v>
      </c>
      <c r="G9" s="15">
        <v>74.326666000000003</v>
      </c>
      <c r="H9" s="15">
        <v>7.5</v>
      </c>
      <c r="I9" s="15">
        <v>124</v>
      </c>
      <c r="J9" s="15">
        <v>758</v>
      </c>
      <c r="K9" s="15">
        <v>27.13</v>
      </c>
      <c r="L9" s="15">
        <v>1.7</v>
      </c>
      <c r="M9" s="15">
        <v>379</v>
      </c>
      <c r="N9" s="16">
        <v>0.25</v>
      </c>
      <c r="O9" s="17">
        <v>2.9999999999999997E-4</v>
      </c>
      <c r="P9" s="17">
        <v>0.1</v>
      </c>
      <c r="Q9" s="16">
        <v>3.4</v>
      </c>
      <c r="R9" s="17">
        <v>165</v>
      </c>
      <c r="S9" s="18">
        <f t="shared" si="0"/>
        <v>2.7041732768680098</v>
      </c>
      <c r="T9" s="16">
        <v>103.99</v>
      </c>
      <c r="U9" s="19">
        <f t="shared" si="1"/>
        <v>5.1893807076201401</v>
      </c>
      <c r="V9" s="17">
        <v>7.1</v>
      </c>
      <c r="W9" s="20">
        <f t="shared" si="2"/>
        <v>0.20028208744710857</v>
      </c>
      <c r="X9" s="16">
        <v>115.6</v>
      </c>
      <c r="Y9" s="21">
        <f t="shared" si="3"/>
        <v>2.4068290651676034</v>
      </c>
      <c r="Z9" s="17">
        <v>11.059999999999999</v>
      </c>
      <c r="AA9" s="18">
        <f t="shared" si="4"/>
        <v>0.48107872988255762</v>
      </c>
      <c r="AB9" s="16">
        <v>16.21</v>
      </c>
      <c r="AC9" s="22">
        <f t="shared" si="5"/>
        <v>0.41553447833888751</v>
      </c>
      <c r="AD9" s="17">
        <v>168.79</v>
      </c>
      <c r="AE9" s="20">
        <f t="shared" si="6"/>
        <v>4.3268392719815436</v>
      </c>
      <c r="AF9" s="16">
        <v>1.4E-2</v>
      </c>
      <c r="AG9" s="17">
        <v>148</v>
      </c>
      <c r="AH9" s="16">
        <v>312</v>
      </c>
      <c r="AI9" s="15">
        <v>10.199999999999999</v>
      </c>
      <c r="AJ9" s="23">
        <v>11.5</v>
      </c>
    </row>
    <row r="10" spans="1:36" ht="15" x14ac:dyDescent="0.3">
      <c r="A10" s="42" t="s">
        <v>52</v>
      </c>
      <c r="B10" s="43" t="s">
        <v>37</v>
      </c>
      <c r="C10" s="43" t="s">
        <v>53</v>
      </c>
      <c r="D10" s="43" t="s">
        <v>54</v>
      </c>
      <c r="E10" s="15">
        <v>200</v>
      </c>
      <c r="F10" s="15">
        <v>17.078703999999998</v>
      </c>
      <c r="G10" s="15">
        <v>74.326183</v>
      </c>
      <c r="H10" s="15">
        <v>6.84</v>
      </c>
      <c r="I10" s="15">
        <v>127</v>
      </c>
      <c r="J10" s="15">
        <v>902</v>
      </c>
      <c r="K10" s="15">
        <v>32.1</v>
      </c>
      <c r="L10" s="15">
        <v>1.01</v>
      </c>
      <c r="M10" s="15">
        <v>417</v>
      </c>
      <c r="N10" s="16">
        <v>0.27</v>
      </c>
      <c r="O10" s="17">
        <v>2.0000000000000001E-4</v>
      </c>
      <c r="P10" s="17">
        <v>0.02</v>
      </c>
      <c r="Q10" s="16">
        <v>3.08</v>
      </c>
      <c r="R10" s="17">
        <v>180</v>
      </c>
      <c r="S10" s="18">
        <f t="shared" si="0"/>
        <v>2.9500072111287383</v>
      </c>
      <c r="T10" s="16">
        <v>92.18</v>
      </c>
      <c r="U10" s="19">
        <f t="shared" si="1"/>
        <v>4.6000299416138528</v>
      </c>
      <c r="V10" s="17">
        <v>6.1</v>
      </c>
      <c r="W10" s="20">
        <f t="shared" si="2"/>
        <v>0.17207334273624822</v>
      </c>
      <c r="X10" s="16">
        <v>77.2</v>
      </c>
      <c r="Y10" s="21">
        <f t="shared" si="3"/>
        <v>1.6073287528627942</v>
      </c>
      <c r="Z10" s="17">
        <v>11.16</v>
      </c>
      <c r="AA10" s="18">
        <f t="shared" si="4"/>
        <v>0.48542844715093525</v>
      </c>
      <c r="AB10" s="16">
        <v>19.260000000000002</v>
      </c>
      <c r="AC10" s="22">
        <f t="shared" si="5"/>
        <v>0.49371955908741355</v>
      </c>
      <c r="AD10" s="17">
        <v>147.59</v>
      </c>
      <c r="AE10" s="20">
        <f t="shared" si="6"/>
        <v>3.7833888746475264</v>
      </c>
      <c r="AF10" s="16">
        <v>0.21</v>
      </c>
      <c r="AG10" s="17">
        <v>140</v>
      </c>
      <c r="AH10" s="16">
        <v>25.2</v>
      </c>
      <c r="AI10" s="15">
        <v>5.2</v>
      </c>
      <c r="AJ10" s="23">
        <v>6.65</v>
      </c>
    </row>
    <row r="11" spans="1:36" ht="15" x14ac:dyDescent="0.3">
      <c r="A11" s="42" t="s">
        <v>55</v>
      </c>
      <c r="B11" s="43" t="s">
        <v>37</v>
      </c>
      <c r="C11" s="43" t="s">
        <v>56</v>
      </c>
      <c r="D11" s="43" t="s">
        <v>57</v>
      </c>
      <c r="E11" s="15">
        <v>205</v>
      </c>
      <c r="F11" s="15">
        <v>17.090786999999999</v>
      </c>
      <c r="G11" s="15">
        <v>74.328590000000005</v>
      </c>
      <c r="H11" s="15">
        <v>7.68</v>
      </c>
      <c r="I11" s="15">
        <v>87.4</v>
      </c>
      <c r="J11" s="15">
        <v>1135</v>
      </c>
      <c r="K11" s="15">
        <v>29.82</v>
      </c>
      <c r="L11" s="15">
        <v>1.68</v>
      </c>
      <c r="M11" s="15">
        <v>568</v>
      </c>
      <c r="N11" s="16">
        <v>0.45</v>
      </c>
      <c r="O11" s="17">
        <v>2.9999999999999997E-4</v>
      </c>
      <c r="P11" s="17">
        <v>0.2</v>
      </c>
      <c r="Q11" s="16">
        <v>3.1</v>
      </c>
      <c r="R11" s="17">
        <v>158</v>
      </c>
      <c r="S11" s="18">
        <f t="shared" si="0"/>
        <v>2.5894507742130033</v>
      </c>
      <c r="T11" s="16">
        <v>99.63</v>
      </c>
      <c r="U11" s="19">
        <f t="shared" si="1"/>
        <v>4.9718049802884368</v>
      </c>
      <c r="V11" s="17">
        <v>8.1999999999999993</v>
      </c>
      <c r="W11" s="20">
        <f t="shared" si="2"/>
        <v>0.23131170662905498</v>
      </c>
      <c r="X11" s="16">
        <v>167.4</v>
      </c>
      <c r="Y11" s="21">
        <f t="shared" si="3"/>
        <v>3.4853216739537789</v>
      </c>
      <c r="Z11" s="17">
        <v>12.25</v>
      </c>
      <c r="AA11" s="18">
        <f t="shared" si="4"/>
        <v>0.53284036537625057</v>
      </c>
      <c r="AB11" s="16">
        <v>10.07</v>
      </c>
      <c r="AC11" s="22">
        <f t="shared" si="5"/>
        <v>0.25813893873365806</v>
      </c>
      <c r="AD11" s="17">
        <v>242.92</v>
      </c>
      <c r="AE11" s="20">
        <f t="shared" si="6"/>
        <v>6.2271212509612921</v>
      </c>
      <c r="AF11" s="16">
        <v>0.21</v>
      </c>
      <c r="AG11" s="17">
        <v>160</v>
      </c>
      <c r="AH11" s="16">
        <v>18.2</v>
      </c>
      <c r="AI11" s="15">
        <v>8.4</v>
      </c>
      <c r="AJ11" s="23">
        <v>10.24</v>
      </c>
    </row>
    <row r="12" spans="1:36" ht="15" x14ac:dyDescent="0.3">
      <c r="A12" s="42" t="s">
        <v>58</v>
      </c>
      <c r="B12" s="43" t="s">
        <v>37</v>
      </c>
      <c r="C12" s="43" t="s">
        <v>59</v>
      </c>
      <c r="D12" s="43">
        <v>2020</v>
      </c>
      <c r="E12" s="15">
        <v>125</v>
      </c>
      <c r="F12" s="15">
        <v>17.08953</v>
      </c>
      <c r="G12" s="15">
        <v>74.327372999999994</v>
      </c>
      <c r="H12" s="15">
        <v>7.85</v>
      </c>
      <c r="I12" s="15">
        <v>73.599999999999994</v>
      </c>
      <c r="J12" s="15">
        <v>1264</v>
      </c>
      <c r="K12" s="15">
        <v>29.39</v>
      </c>
      <c r="L12" s="15">
        <v>1.69</v>
      </c>
      <c r="M12" s="15">
        <v>632</v>
      </c>
      <c r="N12" s="16">
        <v>0.48</v>
      </c>
      <c r="O12" s="17">
        <v>1E-4</v>
      </c>
      <c r="P12" s="17">
        <v>1.3</v>
      </c>
      <c r="Q12" s="16">
        <v>4.2</v>
      </c>
      <c r="R12" s="17">
        <v>160</v>
      </c>
      <c r="S12" s="18">
        <f t="shared" si="0"/>
        <v>2.6222286321144339</v>
      </c>
      <c r="T12" s="16">
        <v>76.62</v>
      </c>
      <c r="U12" s="19">
        <f t="shared" si="1"/>
        <v>3.8235440890263983</v>
      </c>
      <c r="V12" s="17">
        <v>7.7</v>
      </c>
      <c r="W12" s="20">
        <f t="shared" si="2"/>
        <v>0.21720733427362482</v>
      </c>
      <c r="X12" s="16">
        <v>10.4</v>
      </c>
      <c r="Y12" s="21">
        <f t="shared" si="3"/>
        <v>0.21653133458255258</v>
      </c>
      <c r="Z12" s="17">
        <v>21.45</v>
      </c>
      <c r="AA12" s="18">
        <f t="shared" si="4"/>
        <v>0.93301435406698563</v>
      </c>
      <c r="AB12" s="16">
        <v>13.4</v>
      </c>
      <c r="AC12" s="22">
        <f t="shared" si="5"/>
        <v>0.3435016662394258</v>
      </c>
      <c r="AD12" s="17">
        <v>90.84</v>
      </c>
      <c r="AE12" s="20">
        <f t="shared" si="6"/>
        <v>2.3286336836708537</v>
      </c>
      <c r="AF12" s="16">
        <v>0</v>
      </c>
      <c r="AG12" s="17">
        <v>152</v>
      </c>
      <c r="AH12" s="16">
        <v>20</v>
      </c>
      <c r="AI12" s="15">
        <v>5.8</v>
      </c>
      <c r="AJ12" s="23">
        <v>7.17</v>
      </c>
    </row>
    <row r="13" spans="1:36" ht="15" x14ac:dyDescent="0.3">
      <c r="A13" s="44" t="s">
        <v>60</v>
      </c>
      <c r="B13" s="45" t="s">
        <v>61</v>
      </c>
      <c r="C13" s="45" t="s">
        <v>59</v>
      </c>
      <c r="D13" s="45" t="s">
        <v>62</v>
      </c>
      <c r="E13" s="24">
        <v>150</v>
      </c>
      <c r="F13" s="24">
        <v>17.093793999999999</v>
      </c>
      <c r="G13" s="24">
        <v>74.330457999999993</v>
      </c>
      <c r="H13" s="24">
        <v>7.45</v>
      </c>
      <c r="I13" s="24">
        <v>93.2</v>
      </c>
      <c r="J13" s="24">
        <v>1552</v>
      </c>
      <c r="K13" s="24">
        <v>28.29</v>
      </c>
      <c r="L13" s="24">
        <v>1.87</v>
      </c>
      <c r="M13" s="24">
        <v>776</v>
      </c>
      <c r="N13" s="25">
        <v>0.51</v>
      </c>
      <c r="O13" s="1">
        <v>2.0000000000000001E-4</v>
      </c>
      <c r="P13" s="1">
        <v>1</v>
      </c>
      <c r="Q13" s="25">
        <v>3</v>
      </c>
      <c r="R13" s="1">
        <v>144</v>
      </c>
      <c r="S13" s="26">
        <f t="shared" si="0"/>
        <v>2.3600057689029903</v>
      </c>
      <c r="T13" s="25">
        <v>86.3</v>
      </c>
      <c r="U13" s="27">
        <f t="shared" si="1"/>
        <v>4.3066021258545835</v>
      </c>
      <c r="V13" s="1">
        <v>4.9000000000000004</v>
      </c>
      <c r="W13" s="28">
        <f t="shared" si="2"/>
        <v>0.1382228490832158</v>
      </c>
      <c r="X13" s="25">
        <v>15.6</v>
      </c>
      <c r="Y13" s="29">
        <f t="shared" si="3"/>
        <v>0.32479700187382882</v>
      </c>
      <c r="Z13" s="1">
        <v>12.57</v>
      </c>
      <c r="AA13" s="26">
        <f t="shared" si="4"/>
        <v>0.54675946063505876</v>
      </c>
      <c r="AB13" s="25">
        <v>18.940000000000001</v>
      </c>
      <c r="AC13" s="30">
        <f t="shared" si="5"/>
        <v>0.48551653422199442</v>
      </c>
      <c r="AD13" s="1">
        <v>60.23</v>
      </c>
      <c r="AE13" s="28">
        <f t="shared" si="6"/>
        <v>1.5439630863881055</v>
      </c>
      <c r="AF13" s="25">
        <v>0</v>
      </c>
      <c r="AG13" s="1">
        <v>187</v>
      </c>
      <c r="AH13" s="25">
        <v>20</v>
      </c>
      <c r="AI13" s="24">
        <v>6.4</v>
      </c>
      <c r="AJ13">
        <v>8.18</v>
      </c>
    </row>
    <row r="14" spans="1:36" ht="15" x14ac:dyDescent="0.3">
      <c r="A14" s="44" t="s">
        <v>63</v>
      </c>
      <c r="B14" s="46" t="s">
        <v>64</v>
      </c>
      <c r="C14" s="46" t="s">
        <v>65</v>
      </c>
      <c r="D14" s="46" t="s">
        <v>66</v>
      </c>
      <c r="E14" s="32">
        <v>60</v>
      </c>
      <c r="F14" s="32">
        <v>17.118637</v>
      </c>
      <c r="G14" s="32">
        <v>74.356954999999999</v>
      </c>
      <c r="H14" s="32">
        <v>7.3</v>
      </c>
      <c r="I14" s="32">
        <v>103.17</v>
      </c>
      <c r="J14" s="32">
        <v>972</v>
      </c>
      <c r="K14" s="32">
        <v>31.32</v>
      </c>
      <c r="L14" s="32">
        <v>1.47</v>
      </c>
      <c r="M14" s="32">
        <v>414</v>
      </c>
      <c r="N14" s="25">
        <v>0.51</v>
      </c>
      <c r="O14" s="1">
        <v>4.0000000000000002E-4</v>
      </c>
      <c r="P14" s="1">
        <v>2.4</v>
      </c>
      <c r="Q14" s="25">
        <v>2.58</v>
      </c>
      <c r="R14" s="1">
        <v>158</v>
      </c>
      <c r="S14" s="26">
        <f t="shared" si="0"/>
        <v>2.5894507742130033</v>
      </c>
      <c r="T14" s="25">
        <v>100.28</v>
      </c>
      <c r="U14" s="27">
        <f t="shared" si="1"/>
        <v>5.0042417286291725</v>
      </c>
      <c r="V14" s="1">
        <v>6.6</v>
      </c>
      <c r="W14" s="28">
        <f t="shared" si="2"/>
        <v>0.18617771509167841</v>
      </c>
      <c r="X14" s="25">
        <v>24.5</v>
      </c>
      <c r="Y14" s="29">
        <f t="shared" si="3"/>
        <v>0.51009785550697484</v>
      </c>
      <c r="Z14" s="1">
        <v>3.8</v>
      </c>
      <c r="AA14" s="26">
        <f t="shared" si="4"/>
        <v>0.16528925619834711</v>
      </c>
      <c r="AB14" s="25">
        <v>14.56</v>
      </c>
      <c r="AC14" s="30">
        <f t="shared" si="5"/>
        <v>0.37323763137657012</v>
      </c>
      <c r="AD14" s="1">
        <v>94.43</v>
      </c>
      <c r="AE14" s="28">
        <f t="shared" si="6"/>
        <v>2.4206613688797747</v>
      </c>
      <c r="AF14" s="25">
        <v>0</v>
      </c>
      <c r="AG14" s="1">
        <v>140</v>
      </c>
      <c r="AH14" s="25">
        <v>18</v>
      </c>
      <c r="AI14" s="32">
        <v>7.1</v>
      </c>
      <c r="AJ14">
        <v>8.24</v>
      </c>
    </row>
    <row r="15" spans="1:36" ht="15" x14ac:dyDescent="0.3">
      <c r="A15" s="44" t="s">
        <v>67</v>
      </c>
      <c r="B15" s="46" t="s">
        <v>64</v>
      </c>
      <c r="C15" s="46" t="s">
        <v>59</v>
      </c>
      <c r="D15" s="46" t="s">
        <v>66</v>
      </c>
      <c r="E15" s="32">
        <v>95</v>
      </c>
      <c r="F15" s="32">
        <v>17.118435999999999</v>
      </c>
      <c r="G15" s="32">
        <v>74.357557999999997</v>
      </c>
      <c r="H15" s="32">
        <v>7.58</v>
      </c>
      <c r="I15" s="32">
        <v>101.14</v>
      </c>
      <c r="J15" s="32">
        <v>845</v>
      </c>
      <c r="K15" s="32">
        <v>31.34</v>
      </c>
      <c r="L15" s="32">
        <v>1.44</v>
      </c>
      <c r="M15" s="32">
        <v>512</v>
      </c>
      <c r="N15" s="25">
        <v>0.27</v>
      </c>
      <c r="O15" s="1">
        <v>2.9999999999999997E-4</v>
      </c>
      <c r="P15" s="1">
        <v>1.8</v>
      </c>
      <c r="Q15" s="25">
        <v>2.5</v>
      </c>
      <c r="R15" s="1">
        <v>158</v>
      </c>
      <c r="S15" s="26">
        <f t="shared" si="0"/>
        <v>2.5894507742130033</v>
      </c>
      <c r="T15" s="25">
        <v>78.06</v>
      </c>
      <c r="U15" s="27">
        <f t="shared" si="1"/>
        <v>3.8954039622735666</v>
      </c>
      <c r="V15" s="1">
        <v>8.1999999999999993</v>
      </c>
      <c r="W15" s="28">
        <f t="shared" si="2"/>
        <v>0.23131170662905498</v>
      </c>
      <c r="X15" s="25">
        <v>30.08</v>
      </c>
      <c r="Y15" s="29">
        <f t="shared" si="3"/>
        <v>0.62627524463876738</v>
      </c>
      <c r="Z15" s="1">
        <v>12.709999999999999</v>
      </c>
      <c r="AA15" s="26">
        <f t="shared" si="4"/>
        <v>0.55284906481078733</v>
      </c>
      <c r="AB15" s="25">
        <v>15.55</v>
      </c>
      <c r="AC15" s="30">
        <f t="shared" si="5"/>
        <v>0.39861573955396057</v>
      </c>
      <c r="AD15" s="1">
        <v>106.65</v>
      </c>
      <c r="AE15" s="28">
        <f t="shared" si="6"/>
        <v>2.7339143809279673</v>
      </c>
      <c r="AF15" s="25">
        <v>0</v>
      </c>
      <c r="AG15" s="1">
        <v>148</v>
      </c>
      <c r="AH15" s="25">
        <v>22</v>
      </c>
      <c r="AI15" s="32">
        <v>7.3</v>
      </c>
      <c r="AJ15">
        <v>8.67</v>
      </c>
    </row>
    <row r="16" spans="1:36" ht="15" x14ac:dyDescent="0.3">
      <c r="A16" s="44" t="s">
        <v>68</v>
      </c>
      <c r="B16" s="46" t="s">
        <v>64</v>
      </c>
      <c r="C16" s="46" t="s">
        <v>69</v>
      </c>
      <c r="D16" s="46" t="s">
        <v>70</v>
      </c>
      <c r="E16" s="32">
        <v>135</v>
      </c>
      <c r="F16" s="32">
        <v>17.115617</v>
      </c>
      <c r="G16" s="32">
        <v>74.347200000000001</v>
      </c>
      <c r="H16" s="32">
        <v>7.85</v>
      </c>
      <c r="I16" s="32">
        <v>112.4</v>
      </c>
      <c r="J16" s="32">
        <v>844</v>
      </c>
      <c r="K16" s="32">
        <v>30.76</v>
      </c>
      <c r="L16" s="32">
        <v>1.58</v>
      </c>
      <c r="M16" s="32">
        <v>693</v>
      </c>
      <c r="N16" s="25">
        <v>0.31</v>
      </c>
      <c r="O16" s="1">
        <v>6.9999999999999999E-4</v>
      </c>
      <c r="P16" s="1">
        <v>0.31</v>
      </c>
      <c r="Q16" s="25">
        <v>1.64</v>
      </c>
      <c r="R16" s="1">
        <v>120</v>
      </c>
      <c r="S16" s="26">
        <f t="shared" si="0"/>
        <v>1.9666714740858253</v>
      </c>
      <c r="T16" s="25">
        <v>100.06</v>
      </c>
      <c r="U16" s="27">
        <f t="shared" si="1"/>
        <v>4.993263136883078</v>
      </c>
      <c r="V16" s="1">
        <v>17.5</v>
      </c>
      <c r="W16" s="28">
        <f t="shared" si="2"/>
        <v>0.49365303244005637</v>
      </c>
      <c r="X16" s="25">
        <v>85.2</v>
      </c>
      <c r="Y16" s="29">
        <f t="shared" si="3"/>
        <v>1.7738913179262961</v>
      </c>
      <c r="Z16" s="1">
        <v>5.57</v>
      </c>
      <c r="AA16" s="26">
        <f t="shared" si="4"/>
        <v>0.24227925184862986</v>
      </c>
      <c r="AB16" s="25">
        <v>13.78</v>
      </c>
      <c r="AC16" s="30">
        <f t="shared" si="5"/>
        <v>0.35324275826711099</v>
      </c>
      <c r="AD16" s="1">
        <v>116.32</v>
      </c>
      <c r="AE16" s="28">
        <f t="shared" si="6"/>
        <v>2.9817995385798515</v>
      </c>
      <c r="AF16" s="25">
        <v>1E-3</v>
      </c>
      <c r="AG16" s="1">
        <v>424</v>
      </c>
      <c r="AH16" s="25">
        <v>55.6</v>
      </c>
      <c r="AI16" s="32">
        <v>31.4</v>
      </c>
      <c r="AJ16">
        <v>13.98</v>
      </c>
    </row>
    <row r="17" spans="1:36" ht="15" x14ac:dyDescent="0.3">
      <c r="A17" s="44" t="s">
        <v>71</v>
      </c>
      <c r="B17" s="46" t="s">
        <v>72</v>
      </c>
      <c r="C17" s="45" t="s">
        <v>59</v>
      </c>
      <c r="D17" s="46" t="s">
        <v>73</v>
      </c>
      <c r="E17" s="32">
        <v>150</v>
      </c>
      <c r="F17" s="32">
        <v>17.12358</v>
      </c>
      <c r="G17" s="32">
        <v>74.344516999999996</v>
      </c>
      <c r="H17" s="32">
        <v>7.68</v>
      </c>
      <c r="I17" s="32">
        <v>115.4</v>
      </c>
      <c r="J17" s="32">
        <v>795</v>
      </c>
      <c r="K17" s="32">
        <v>31.06</v>
      </c>
      <c r="L17" s="32">
        <v>1.67</v>
      </c>
      <c r="M17" s="32">
        <v>517</v>
      </c>
      <c r="N17" s="25">
        <v>0.21</v>
      </c>
      <c r="O17" s="1">
        <v>1E-4</v>
      </c>
      <c r="P17" s="1">
        <v>0.22</v>
      </c>
      <c r="Q17" s="25">
        <v>2.7</v>
      </c>
      <c r="R17" s="1">
        <v>184</v>
      </c>
      <c r="S17" s="26">
        <f t="shared" si="0"/>
        <v>3.0155629269315991</v>
      </c>
      <c r="T17" s="25">
        <v>115.25</v>
      </c>
      <c r="U17" s="27">
        <f t="shared" si="1"/>
        <v>5.7512849942611899</v>
      </c>
      <c r="V17" s="1">
        <v>16.399999999999999</v>
      </c>
      <c r="W17" s="28">
        <f t="shared" si="2"/>
        <v>0.46262341325810996</v>
      </c>
      <c r="X17" s="25">
        <v>78.2</v>
      </c>
      <c r="Y17" s="29">
        <f t="shared" si="3"/>
        <v>1.6281490734957318</v>
      </c>
      <c r="Z17" s="1">
        <v>11.04</v>
      </c>
      <c r="AA17" s="26">
        <f t="shared" si="4"/>
        <v>0.4802087864288821</v>
      </c>
      <c r="AB17" s="25">
        <v>17.940000000000001</v>
      </c>
      <c r="AC17" s="30">
        <f t="shared" si="5"/>
        <v>0.45988208151755966</v>
      </c>
      <c r="AD17" s="1">
        <v>149.29</v>
      </c>
      <c r="AE17" s="28">
        <f t="shared" si="6"/>
        <v>3.8269674442450654</v>
      </c>
      <c r="AF17" s="25">
        <v>2.0000000000000001E-4</v>
      </c>
      <c r="AG17" s="1">
        <v>568</v>
      </c>
      <c r="AH17" s="25">
        <v>11.2</v>
      </c>
      <c r="AI17" s="32">
        <v>6.4</v>
      </c>
      <c r="AJ17">
        <v>12.879999999999999</v>
      </c>
    </row>
    <row r="18" spans="1:36" ht="15" x14ac:dyDescent="0.3">
      <c r="A18" s="44" t="s">
        <v>74</v>
      </c>
      <c r="B18" s="46" t="s">
        <v>72</v>
      </c>
      <c r="C18" s="46" t="s">
        <v>75</v>
      </c>
      <c r="D18" s="46" t="s">
        <v>76</v>
      </c>
      <c r="E18" s="32">
        <v>180</v>
      </c>
      <c r="F18" s="32">
        <v>17.126370000000001</v>
      </c>
      <c r="G18" s="32">
        <v>74.834866000000005</v>
      </c>
      <c r="H18" s="32">
        <v>7.37</v>
      </c>
      <c r="I18" s="32">
        <v>121.5</v>
      </c>
      <c r="J18" s="32">
        <v>842</v>
      </c>
      <c r="K18" s="32">
        <v>31.12</v>
      </c>
      <c r="L18" s="32">
        <v>1.34</v>
      </c>
      <c r="M18" s="32">
        <v>576</v>
      </c>
      <c r="N18" s="33">
        <v>0.12</v>
      </c>
      <c r="O18" s="1">
        <v>2.9999999999999997E-4</v>
      </c>
      <c r="P18" s="1">
        <v>0.16</v>
      </c>
      <c r="Q18" s="33">
        <v>1.8</v>
      </c>
      <c r="R18" s="1">
        <v>166</v>
      </c>
      <c r="S18" s="26">
        <f t="shared" si="0"/>
        <v>2.7205622058187253</v>
      </c>
      <c r="T18" s="33">
        <v>87.61</v>
      </c>
      <c r="U18" s="27">
        <f t="shared" si="1"/>
        <v>4.3719746494336045</v>
      </c>
      <c r="V18" s="1">
        <v>7.6</v>
      </c>
      <c r="W18" s="28">
        <f t="shared" si="2"/>
        <v>0.21438645980253876</v>
      </c>
      <c r="X18" s="33">
        <v>178.6</v>
      </c>
      <c r="Y18" s="29">
        <f t="shared" si="3"/>
        <v>3.7185092650426816</v>
      </c>
      <c r="Z18" s="1">
        <v>1.47</v>
      </c>
      <c r="AA18" s="26">
        <f t="shared" si="4"/>
        <v>6.3940843845150072E-2</v>
      </c>
      <c r="AB18" s="33">
        <v>16.95</v>
      </c>
      <c r="AC18" s="30">
        <f t="shared" si="5"/>
        <v>0.43450397334016921</v>
      </c>
      <c r="AD18" s="1">
        <v>277.63</v>
      </c>
      <c r="AE18" s="28">
        <f t="shared" si="6"/>
        <v>7.116893104332223</v>
      </c>
      <c r="AF18" s="33">
        <v>1E-3</v>
      </c>
      <c r="AG18" s="1">
        <v>440</v>
      </c>
      <c r="AH18" s="33">
        <v>46.4</v>
      </c>
      <c r="AI18" s="32">
        <v>6.1999999999999993</v>
      </c>
      <c r="AJ18">
        <v>4.08</v>
      </c>
    </row>
    <row r="19" spans="1:36" ht="15" x14ac:dyDescent="0.3">
      <c r="A19" s="44" t="s">
        <v>77</v>
      </c>
      <c r="B19" s="46" t="s">
        <v>72</v>
      </c>
      <c r="C19" s="46" t="s">
        <v>78</v>
      </c>
      <c r="D19" s="46" t="s">
        <v>79</v>
      </c>
      <c r="E19" s="32">
        <v>165</v>
      </c>
      <c r="F19" s="32">
        <v>17.128625</v>
      </c>
      <c r="G19" s="32">
        <v>74.351336000000003</v>
      </c>
      <c r="H19" s="32">
        <v>7.49</v>
      </c>
      <c r="I19" s="32">
        <v>116.35</v>
      </c>
      <c r="J19" s="32">
        <v>1015</v>
      </c>
      <c r="K19" s="32">
        <v>31.78</v>
      </c>
      <c r="L19" s="32">
        <v>1.63</v>
      </c>
      <c r="M19" s="32">
        <v>841</v>
      </c>
      <c r="N19" s="33">
        <v>0.19</v>
      </c>
      <c r="O19" s="1">
        <v>2.0000000000000001E-4</v>
      </c>
      <c r="P19" s="1">
        <v>0.84</v>
      </c>
      <c r="Q19" s="33">
        <v>1.3</v>
      </c>
      <c r="R19" s="1">
        <v>172</v>
      </c>
      <c r="S19" s="26">
        <f t="shared" si="0"/>
        <v>2.8188957795230163</v>
      </c>
      <c r="T19" s="33">
        <v>109</v>
      </c>
      <c r="U19" s="27">
        <f t="shared" si="1"/>
        <v>5.4393931832925793</v>
      </c>
      <c r="V19" s="1">
        <v>6.7</v>
      </c>
      <c r="W19" s="28">
        <f t="shared" si="2"/>
        <v>0.18899858956276444</v>
      </c>
      <c r="X19" s="33">
        <v>59.2</v>
      </c>
      <c r="Y19" s="29">
        <f t="shared" si="3"/>
        <v>1.2325629814699146</v>
      </c>
      <c r="Z19" s="1">
        <v>0.89</v>
      </c>
      <c r="AA19" s="26">
        <f t="shared" si="4"/>
        <v>3.8712483688560249E-2</v>
      </c>
      <c r="AB19" s="33">
        <v>11.96</v>
      </c>
      <c r="AC19" s="30">
        <f t="shared" si="5"/>
        <v>0.30658805434503977</v>
      </c>
      <c r="AD19" s="1">
        <v>141.38999999999999</v>
      </c>
      <c r="AE19" s="28">
        <f t="shared" si="6"/>
        <v>3.6244552678800308</v>
      </c>
      <c r="AF19" s="33">
        <v>2.3E-2</v>
      </c>
      <c r="AG19" s="1">
        <v>372</v>
      </c>
      <c r="AH19" s="33">
        <v>67</v>
      </c>
      <c r="AI19" s="32">
        <v>8.4</v>
      </c>
      <c r="AJ19">
        <v>3.18</v>
      </c>
    </row>
    <row r="20" spans="1:36" ht="15" x14ac:dyDescent="0.3">
      <c r="A20" s="44" t="s">
        <v>80</v>
      </c>
      <c r="B20" s="46" t="s">
        <v>81</v>
      </c>
      <c r="C20" s="45" t="s">
        <v>59</v>
      </c>
      <c r="D20" s="46" t="s">
        <v>73</v>
      </c>
      <c r="E20" s="32">
        <v>120</v>
      </c>
      <c r="F20" s="32">
        <v>17.128233999999999</v>
      </c>
      <c r="G20" s="32">
        <v>74.356497000000005</v>
      </c>
      <c r="H20" s="32">
        <v>7.38</v>
      </c>
      <c r="I20" s="32">
        <v>115.2</v>
      </c>
      <c r="J20" s="32">
        <v>1154</v>
      </c>
      <c r="K20" s="32">
        <v>30.49</v>
      </c>
      <c r="L20" s="32">
        <v>1.36</v>
      </c>
      <c r="M20" s="32">
        <v>972</v>
      </c>
      <c r="N20" s="33">
        <v>0.27</v>
      </c>
      <c r="O20" s="1">
        <v>1E-4</v>
      </c>
      <c r="P20" s="1">
        <v>1.3</v>
      </c>
      <c r="Q20" s="33">
        <v>1.74</v>
      </c>
      <c r="R20" s="1">
        <v>189</v>
      </c>
      <c r="S20" s="26">
        <f t="shared" si="0"/>
        <v>3.097507571685175</v>
      </c>
      <c r="T20" s="33">
        <v>85.35</v>
      </c>
      <c r="U20" s="27">
        <f t="shared" si="1"/>
        <v>4.2591945705873542</v>
      </c>
      <c r="V20" s="1">
        <v>4.8</v>
      </c>
      <c r="W20" s="28">
        <f t="shared" si="2"/>
        <v>0.13540197461212974</v>
      </c>
      <c r="X20" s="33">
        <v>183.4</v>
      </c>
      <c r="Y20" s="29">
        <f t="shared" si="3"/>
        <v>3.8184468040807831</v>
      </c>
      <c r="Z20" s="1">
        <v>0.77</v>
      </c>
      <c r="AA20" s="26">
        <f t="shared" si="4"/>
        <v>3.3492822966507178E-2</v>
      </c>
      <c r="AB20" s="33">
        <v>14.26</v>
      </c>
      <c r="AC20" s="30">
        <f t="shared" si="5"/>
        <v>0.36554729556523968</v>
      </c>
      <c r="AD20" s="1">
        <v>306.22000000000003</v>
      </c>
      <c r="AE20" s="28">
        <f t="shared" si="6"/>
        <v>7.8497821071520137</v>
      </c>
      <c r="AF20" s="33">
        <v>1.4999999999999999E-2</v>
      </c>
      <c r="AG20" s="34">
        <v>744</v>
      </c>
      <c r="AH20" s="33">
        <v>85.5</v>
      </c>
      <c r="AI20" s="32">
        <v>11.4</v>
      </c>
      <c r="AJ20">
        <v>1.2799999999999998</v>
      </c>
    </row>
    <row r="21" spans="1:36" ht="15" x14ac:dyDescent="0.3">
      <c r="A21" s="44" t="s">
        <v>82</v>
      </c>
      <c r="B21" s="46" t="s">
        <v>81</v>
      </c>
      <c r="C21" s="45" t="s">
        <v>59</v>
      </c>
      <c r="D21" s="46" t="s">
        <v>73</v>
      </c>
      <c r="E21" s="32">
        <v>200</v>
      </c>
      <c r="F21" s="32">
        <v>17.351310000000002</v>
      </c>
      <c r="G21" s="32">
        <v>74.356785000000002</v>
      </c>
      <c r="H21" s="32">
        <v>7.22</v>
      </c>
      <c r="I21" s="32">
        <v>108.26</v>
      </c>
      <c r="J21" s="32">
        <v>976</v>
      </c>
      <c r="K21" s="32">
        <v>30.78</v>
      </c>
      <c r="L21" s="32">
        <v>1.31</v>
      </c>
      <c r="M21" s="32">
        <v>814</v>
      </c>
      <c r="N21" s="33">
        <v>0.21</v>
      </c>
      <c r="O21" s="1">
        <v>2.9999999999999997E-4</v>
      </c>
      <c r="P21" s="1">
        <v>1.1200000000000001</v>
      </c>
      <c r="Q21" s="33">
        <v>0.61</v>
      </c>
      <c r="R21" s="1">
        <v>153</v>
      </c>
      <c r="S21" s="26">
        <f t="shared" si="0"/>
        <v>2.5075061294594274</v>
      </c>
      <c r="T21" s="33">
        <v>53.68</v>
      </c>
      <c r="U21" s="27">
        <f t="shared" si="1"/>
        <v>2.6787763860472076</v>
      </c>
      <c r="V21" s="1">
        <v>5.6</v>
      </c>
      <c r="W21" s="28">
        <f t="shared" si="2"/>
        <v>0.15796897038081803</v>
      </c>
      <c r="X21" s="33">
        <v>76.400000000000006</v>
      </c>
      <c r="Y21" s="29">
        <f t="shared" si="3"/>
        <v>1.590672496356444</v>
      </c>
      <c r="Z21" s="1">
        <v>0.71</v>
      </c>
      <c r="AA21" s="26">
        <f t="shared" si="4"/>
        <v>3.0882992605480643E-2</v>
      </c>
      <c r="AB21" s="33">
        <v>16.54</v>
      </c>
      <c r="AC21" s="30">
        <f t="shared" si="5"/>
        <v>0.42399384773135096</v>
      </c>
      <c r="AD21" s="1">
        <v>178.24</v>
      </c>
      <c r="AE21" s="28">
        <f t="shared" si="6"/>
        <v>4.5690848500384522</v>
      </c>
      <c r="AF21" s="33">
        <v>0.02</v>
      </c>
      <c r="AG21" s="1">
        <v>436</v>
      </c>
      <c r="AH21" s="33">
        <v>76.900000000000006</v>
      </c>
      <c r="AI21" s="32">
        <v>6.3</v>
      </c>
      <c r="AJ21">
        <v>2.0799999999999996</v>
      </c>
    </row>
    <row r="22" spans="1:36" ht="15" x14ac:dyDescent="0.3">
      <c r="A22" s="44" t="s">
        <v>83</v>
      </c>
      <c r="B22" s="46" t="s">
        <v>81</v>
      </c>
      <c r="C22" s="46" t="s">
        <v>84</v>
      </c>
      <c r="D22" s="46" t="s">
        <v>85</v>
      </c>
      <c r="E22" s="32">
        <v>220</v>
      </c>
      <c r="F22" s="32">
        <v>17.133844</v>
      </c>
      <c r="G22" s="32">
        <v>74.360124999999996</v>
      </c>
      <c r="H22" s="32">
        <v>7.81</v>
      </c>
      <c r="I22" s="32">
        <v>105.69</v>
      </c>
      <c r="J22" s="32">
        <v>941</v>
      </c>
      <c r="K22" s="32">
        <v>31.56</v>
      </c>
      <c r="L22" s="32">
        <v>1.78</v>
      </c>
      <c r="M22" s="32">
        <v>576</v>
      </c>
      <c r="N22" s="33">
        <v>0.13</v>
      </c>
      <c r="O22" s="1">
        <v>2.0000000000000001E-4</v>
      </c>
      <c r="P22" s="1">
        <v>0.84</v>
      </c>
      <c r="Q22" s="33">
        <v>0.74</v>
      </c>
      <c r="R22" s="1">
        <v>160</v>
      </c>
      <c r="S22" s="26">
        <f t="shared" si="0"/>
        <v>2.6222286321144339</v>
      </c>
      <c r="T22" s="33">
        <v>90.71</v>
      </c>
      <c r="U22" s="27">
        <f t="shared" si="1"/>
        <v>4.5266729876740346</v>
      </c>
      <c r="V22" s="1">
        <v>6</v>
      </c>
      <c r="W22" s="28">
        <f t="shared" si="2"/>
        <v>0.16925246826516219</v>
      </c>
      <c r="X22" s="33">
        <v>58.3</v>
      </c>
      <c r="Y22" s="29">
        <f t="shared" si="3"/>
        <v>1.2138246929002705</v>
      </c>
      <c r="Z22" s="1">
        <v>1.56</v>
      </c>
      <c r="AA22" s="26">
        <f t="shared" si="4"/>
        <v>6.7855589386689869E-2</v>
      </c>
      <c r="AB22" s="33">
        <v>18.809999999999999</v>
      </c>
      <c r="AC22" s="30">
        <f t="shared" si="5"/>
        <v>0.48218405537041781</v>
      </c>
      <c r="AD22" s="1">
        <v>133.16999999999999</v>
      </c>
      <c r="AE22" s="28">
        <f t="shared" si="6"/>
        <v>3.4137400666495767</v>
      </c>
      <c r="AF22" s="33">
        <v>3.0000000000000001E-3</v>
      </c>
      <c r="AG22" s="1">
        <v>348</v>
      </c>
      <c r="AH22" s="33">
        <v>68.8</v>
      </c>
      <c r="AI22" s="32">
        <v>9.1999999999999993</v>
      </c>
      <c r="AJ22">
        <v>2.48</v>
      </c>
    </row>
    <row r="23" spans="1:36" ht="15" x14ac:dyDescent="0.3">
      <c r="A23" s="44" t="s">
        <v>86</v>
      </c>
      <c r="B23" s="46" t="s">
        <v>87</v>
      </c>
      <c r="C23" s="46" t="s">
        <v>88</v>
      </c>
      <c r="D23" s="46" t="s">
        <v>79</v>
      </c>
      <c r="E23" s="32">
        <v>155</v>
      </c>
      <c r="F23" s="32">
        <v>17.114488000000001</v>
      </c>
      <c r="G23" s="32">
        <v>74.332769999999996</v>
      </c>
      <c r="H23" s="32">
        <v>7.27</v>
      </c>
      <c r="I23" s="32">
        <v>114.93</v>
      </c>
      <c r="J23" s="32">
        <v>1102</v>
      </c>
      <c r="K23" s="32">
        <v>31.49</v>
      </c>
      <c r="L23" s="32">
        <v>1.52</v>
      </c>
      <c r="M23" s="32">
        <v>772</v>
      </c>
      <c r="N23" s="33">
        <v>0.25</v>
      </c>
      <c r="O23" s="1">
        <v>2.9999999999999997E-4</v>
      </c>
      <c r="P23" s="1">
        <v>0.61</v>
      </c>
      <c r="Q23" s="33">
        <v>1.24</v>
      </c>
      <c r="R23" s="1">
        <v>199</v>
      </c>
      <c r="S23" s="26">
        <f t="shared" si="0"/>
        <v>3.2613968611923272</v>
      </c>
      <c r="T23" s="33">
        <v>122.37</v>
      </c>
      <c r="U23" s="27">
        <f t="shared" si="1"/>
        <v>6.1065921453166325</v>
      </c>
      <c r="V23" s="1">
        <v>6.9</v>
      </c>
      <c r="W23" s="28">
        <f t="shared" si="2"/>
        <v>0.19464033850493653</v>
      </c>
      <c r="X23" s="33">
        <v>75.099999999999994</v>
      </c>
      <c r="Y23" s="29">
        <f t="shared" si="3"/>
        <v>1.5636060795336246</v>
      </c>
      <c r="Z23" s="1">
        <v>22.21</v>
      </c>
      <c r="AA23" s="26">
        <f t="shared" si="4"/>
        <v>0.96607220530665516</v>
      </c>
      <c r="AB23" s="33">
        <v>17.87</v>
      </c>
      <c r="AC23" s="30">
        <f t="shared" si="5"/>
        <v>0.45808766982824922</v>
      </c>
      <c r="AD23" s="1">
        <v>103.48</v>
      </c>
      <c r="AE23" s="28">
        <f t="shared" si="6"/>
        <v>2.6526531658549093</v>
      </c>
      <c r="AF23" s="33">
        <v>7.0000000000000001E-3</v>
      </c>
      <c r="AG23" s="1">
        <v>420</v>
      </c>
      <c r="AH23" s="33">
        <v>54.1</v>
      </c>
      <c r="AI23" s="32">
        <v>6.7</v>
      </c>
      <c r="AJ23">
        <v>3.3800000000000003</v>
      </c>
    </row>
    <row r="24" spans="1:36" ht="15" x14ac:dyDescent="0.3">
      <c r="A24" s="44" t="s">
        <v>89</v>
      </c>
      <c r="B24" s="47" t="s">
        <v>87</v>
      </c>
      <c r="C24" s="48" t="s">
        <v>59</v>
      </c>
      <c r="D24" s="47" t="s">
        <v>90</v>
      </c>
      <c r="E24" s="32">
        <v>130</v>
      </c>
      <c r="F24" s="32">
        <v>17.114318300000001</v>
      </c>
      <c r="G24" s="32">
        <v>74.321618000000001</v>
      </c>
      <c r="H24" s="32">
        <v>7.34</v>
      </c>
      <c r="I24" s="32">
        <v>109.93</v>
      </c>
      <c r="J24" s="32">
        <v>1058</v>
      </c>
      <c r="K24" s="32">
        <v>30.78</v>
      </c>
      <c r="L24" s="32">
        <v>1.68</v>
      </c>
      <c r="M24" s="32">
        <v>692</v>
      </c>
      <c r="N24" s="33">
        <v>0.24</v>
      </c>
      <c r="O24" s="1">
        <v>2.9999999999999997E-4</v>
      </c>
      <c r="P24" s="1">
        <v>0.71</v>
      </c>
      <c r="Q24" s="33">
        <v>2.61</v>
      </c>
      <c r="R24" s="17">
        <v>207</v>
      </c>
      <c r="S24" s="26">
        <f t="shared" si="0"/>
        <v>3.3925082927980488</v>
      </c>
      <c r="T24" s="35">
        <v>98.61</v>
      </c>
      <c r="U24" s="27">
        <f t="shared" si="1"/>
        <v>4.9209042367383597</v>
      </c>
      <c r="V24" s="17">
        <v>8.1999999999999993</v>
      </c>
      <c r="W24" s="28">
        <f t="shared" si="2"/>
        <v>0.23131170662905498</v>
      </c>
      <c r="X24" s="35">
        <v>67.5</v>
      </c>
      <c r="Y24" s="29">
        <f t="shared" si="3"/>
        <v>1.4053716427232978</v>
      </c>
      <c r="Z24" s="17">
        <v>0.76</v>
      </c>
      <c r="AA24" s="26">
        <f t="shared" si="4"/>
        <v>3.3057851239669422E-2</v>
      </c>
      <c r="AB24" s="33">
        <v>13.31</v>
      </c>
      <c r="AC24" s="30">
        <f t="shared" si="5"/>
        <v>0.34119456549602667</v>
      </c>
      <c r="AD24" s="17">
        <v>172.96</v>
      </c>
      <c r="AE24" s="28">
        <f t="shared" si="6"/>
        <v>4.4337349397590362</v>
      </c>
      <c r="AF24" s="33">
        <v>6.0000000000000001E-3</v>
      </c>
      <c r="AG24" s="1">
        <v>480</v>
      </c>
      <c r="AH24" s="33">
        <v>45.4</v>
      </c>
      <c r="AI24" s="32">
        <v>7.7</v>
      </c>
      <c r="AJ24">
        <v>4.68</v>
      </c>
    </row>
    <row r="25" spans="1:36" ht="15" x14ac:dyDescent="0.3">
      <c r="A25" s="44" t="s">
        <v>91</v>
      </c>
      <c r="B25" s="46" t="s">
        <v>92</v>
      </c>
      <c r="C25" s="46" t="s">
        <v>93</v>
      </c>
      <c r="D25" s="46" t="s">
        <v>94</v>
      </c>
      <c r="E25" s="32">
        <v>45</v>
      </c>
      <c r="F25" s="32">
        <v>17.11027</v>
      </c>
      <c r="G25" s="32">
        <v>74.274968000000001</v>
      </c>
      <c r="H25" s="32">
        <v>7.41</v>
      </c>
      <c r="I25" s="32">
        <v>98.3</v>
      </c>
      <c r="J25" s="32">
        <v>1697</v>
      </c>
      <c r="K25" s="32">
        <v>31.27</v>
      </c>
      <c r="L25" s="32">
        <v>1.84</v>
      </c>
      <c r="M25" s="32">
        <v>848</v>
      </c>
      <c r="N25" s="33">
        <v>0.28000000000000003</v>
      </c>
      <c r="O25" s="1">
        <v>2.0000000000000001E-4</v>
      </c>
      <c r="P25" s="1">
        <v>0.05</v>
      </c>
      <c r="Q25" s="33">
        <v>1.7</v>
      </c>
      <c r="R25" s="1">
        <v>177</v>
      </c>
      <c r="S25" s="26">
        <f t="shared" si="0"/>
        <v>2.9008404242765926</v>
      </c>
      <c r="T25" s="33">
        <v>85.78</v>
      </c>
      <c r="U25" s="27">
        <f t="shared" si="1"/>
        <v>4.2806527271819945</v>
      </c>
      <c r="V25" s="1">
        <v>5.4</v>
      </c>
      <c r="W25" s="28">
        <f t="shared" si="2"/>
        <v>0.15232722143864597</v>
      </c>
      <c r="X25" s="33">
        <v>186.5</v>
      </c>
      <c r="Y25" s="29">
        <f t="shared" si="3"/>
        <v>3.8829897980428898</v>
      </c>
      <c r="Z25" s="1">
        <v>21.65</v>
      </c>
      <c r="AA25" s="26">
        <f t="shared" si="4"/>
        <v>0.94171378860374078</v>
      </c>
      <c r="AB25" s="33">
        <v>18.87</v>
      </c>
      <c r="AC25" s="30">
        <f t="shared" si="5"/>
        <v>0.48372212253268398</v>
      </c>
      <c r="AD25" s="1">
        <v>274.97000000000003</v>
      </c>
      <c r="AE25" s="28">
        <f t="shared" si="6"/>
        <v>7.0487054601384269</v>
      </c>
      <c r="AF25" s="33">
        <v>1.4E-3</v>
      </c>
      <c r="AG25" s="1">
        <v>412</v>
      </c>
      <c r="AH25" s="33">
        <v>76.900000000000006</v>
      </c>
      <c r="AI25" s="32">
        <v>8.1</v>
      </c>
      <c r="AJ25">
        <v>1.8800000000000003</v>
      </c>
    </row>
    <row r="26" spans="1:36" ht="15" x14ac:dyDescent="0.3">
      <c r="A26" s="44" t="s">
        <v>95</v>
      </c>
      <c r="B26" s="46" t="s">
        <v>96</v>
      </c>
      <c r="C26" s="46" t="s">
        <v>97</v>
      </c>
      <c r="D26" s="46" t="s">
        <v>98</v>
      </c>
      <c r="E26" s="32">
        <v>240</v>
      </c>
      <c r="F26" s="32">
        <v>16.987359999999999</v>
      </c>
      <c r="G26" s="32">
        <v>74.137619999999998</v>
      </c>
      <c r="H26" s="32">
        <v>7.27</v>
      </c>
      <c r="I26" s="32">
        <v>103.7</v>
      </c>
      <c r="J26" s="32">
        <v>1505</v>
      </c>
      <c r="K26" s="32">
        <v>31.3</v>
      </c>
      <c r="L26" s="32">
        <v>1.87</v>
      </c>
      <c r="M26" s="32">
        <v>378</v>
      </c>
      <c r="N26" s="33">
        <v>0.46</v>
      </c>
      <c r="O26" s="1">
        <v>5.0000000000000001E-4</v>
      </c>
      <c r="P26" s="1">
        <v>0</v>
      </c>
      <c r="Q26" s="33">
        <v>1.3</v>
      </c>
      <c r="R26" s="1">
        <v>165</v>
      </c>
      <c r="S26" s="26">
        <f t="shared" si="0"/>
        <v>2.7041732768680098</v>
      </c>
      <c r="T26" s="33">
        <v>113.76</v>
      </c>
      <c r="U26" s="27">
        <f t="shared" si="1"/>
        <v>5.6769299865262735</v>
      </c>
      <c r="V26" s="1">
        <v>7.1</v>
      </c>
      <c r="W26" s="28">
        <f t="shared" si="2"/>
        <v>0.20028208744710857</v>
      </c>
      <c r="X26" s="33">
        <v>189.2</v>
      </c>
      <c r="Y26" s="29">
        <f t="shared" si="3"/>
        <v>3.9392046637518217</v>
      </c>
      <c r="Z26" s="1">
        <v>12.35</v>
      </c>
      <c r="AA26" s="26">
        <f t="shared" si="4"/>
        <v>0.53719008264462809</v>
      </c>
      <c r="AB26" s="33">
        <v>15.22</v>
      </c>
      <c r="AC26" s="30">
        <f t="shared" si="5"/>
        <v>0.39015637016149707</v>
      </c>
      <c r="AD26" s="34">
        <v>187.38</v>
      </c>
      <c r="AE26" s="28">
        <f t="shared" si="6"/>
        <v>4.8033837477569854</v>
      </c>
      <c r="AF26" s="33">
        <v>2E-3</v>
      </c>
      <c r="AG26" s="1">
        <v>488</v>
      </c>
      <c r="AH26" s="33">
        <v>64.3</v>
      </c>
      <c r="AI26" s="32">
        <v>8.8000000000000007</v>
      </c>
      <c r="AJ26">
        <v>3.5799999999999996</v>
      </c>
    </row>
    <row r="27" spans="1:36" ht="15" x14ac:dyDescent="0.3">
      <c r="A27" s="44" t="s">
        <v>99</v>
      </c>
      <c r="B27" s="46" t="s">
        <v>100</v>
      </c>
      <c r="C27" s="46" t="s">
        <v>101</v>
      </c>
      <c r="D27" s="46" t="s">
        <v>102</v>
      </c>
      <c r="E27" s="32">
        <v>200</v>
      </c>
      <c r="F27" s="32">
        <v>17.164625000000001</v>
      </c>
      <c r="G27" s="32">
        <v>74.263722000000001</v>
      </c>
      <c r="H27" s="32">
        <v>7.17</v>
      </c>
      <c r="I27" s="32">
        <v>106.8</v>
      </c>
      <c r="J27" s="32">
        <v>1146</v>
      </c>
      <c r="K27" s="32">
        <v>32.090000000000003</v>
      </c>
      <c r="L27" s="32">
        <v>2.08</v>
      </c>
      <c r="M27" s="36">
        <v>573</v>
      </c>
      <c r="N27" s="33">
        <v>0.53</v>
      </c>
      <c r="O27" s="1">
        <v>6.9999999999999999E-4</v>
      </c>
      <c r="P27" s="1">
        <v>0.16</v>
      </c>
      <c r="Q27" s="33">
        <v>0.51</v>
      </c>
      <c r="R27" s="1">
        <v>184</v>
      </c>
      <c r="S27" s="26">
        <f t="shared" si="0"/>
        <v>3.0155629269315991</v>
      </c>
      <c r="T27" s="33">
        <v>58.83</v>
      </c>
      <c r="U27" s="27">
        <f t="shared" si="1"/>
        <v>2.9357752382853435</v>
      </c>
      <c r="V27" s="1">
        <v>6.1</v>
      </c>
      <c r="W27" s="28">
        <f t="shared" si="2"/>
        <v>0.17207334273624822</v>
      </c>
      <c r="X27" s="33">
        <v>42.9</v>
      </c>
      <c r="Y27" s="29">
        <f t="shared" si="3"/>
        <v>0.89319175515302929</v>
      </c>
      <c r="Z27" s="1">
        <v>9.9699999999999989</v>
      </c>
      <c r="AA27" s="26">
        <f t="shared" si="4"/>
        <v>0.43366681165724225</v>
      </c>
      <c r="AB27" s="33">
        <v>15.96</v>
      </c>
      <c r="AC27" s="30">
        <f t="shared" si="5"/>
        <v>0.40912586516277882</v>
      </c>
      <c r="AD27" s="1">
        <v>167.49</v>
      </c>
      <c r="AE27" s="28">
        <f t="shared" si="6"/>
        <v>4.2935144834657786</v>
      </c>
      <c r="AF27" s="33">
        <v>2.0999999999999999E-3</v>
      </c>
      <c r="AG27" s="1">
        <v>528</v>
      </c>
      <c r="AH27" s="33">
        <v>81.8</v>
      </c>
      <c r="AI27" s="1">
        <v>6.7</v>
      </c>
      <c r="AJ27">
        <v>2.5799999999999996</v>
      </c>
    </row>
    <row r="28" spans="1:36" ht="15" x14ac:dyDescent="0.3">
      <c r="A28" s="44" t="s">
        <v>103</v>
      </c>
      <c r="B28" s="46" t="s">
        <v>96</v>
      </c>
      <c r="C28" s="46" t="s">
        <v>104</v>
      </c>
      <c r="D28" s="46" t="s">
        <v>105</v>
      </c>
      <c r="E28" s="32">
        <v>160</v>
      </c>
      <c r="F28" s="32">
        <v>16.983452</v>
      </c>
      <c r="G28" s="32">
        <v>74.132035000000002</v>
      </c>
      <c r="H28" s="32">
        <v>7.14</v>
      </c>
      <c r="I28" s="32">
        <v>108.06</v>
      </c>
      <c r="J28" s="32">
        <v>749</v>
      </c>
      <c r="K28" s="32">
        <v>31.06</v>
      </c>
      <c r="L28" s="32">
        <v>1.93</v>
      </c>
      <c r="M28" s="32">
        <v>374</v>
      </c>
      <c r="N28" s="33">
        <v>0.46</v>
      </c>
      <c r="O28" s="1">
        <v>4.0000000000000002E-4</v>
      </c>
      <c r="P28" s="1">
        <v>0.3</v>
      </c>
      <c r="Q28" s="33">
        <v>1.2</v>
      </c>
      <c r="R28" s="1">
        <v>211</v>
      </c>
      <c r="S28" s="26">
        <f t="shared" si="0"/>
        <v>3.4580640086009096</v>
      </c>
      <c r="T28" s="33">
        <v>66.52</v>
      </c>
      <c r="U28" s="27">
        <f t="shared" si="1"/>
        <v>3.3195269225011224</v>
      </c>
      <c r="V28" s="1">
        <v>8.1999999999999993</v>
      </c>
      <c r="W28" s="28">
        <f t="shared" si="2"/>
        <v>0.23131170662905498</v>
      </c>
      <c r="X28" s="33">
        <v>62.1</v>
      </c>
      <c r="Y28" s="29">
        <f t="shared" si="3"/>
        <v>1.2929419113054341</v>
      </c>
      <c r="Z28" s="1">
        <v>3.4</v>
      </c>
      <c r="AA28" s="26">
        <f t="shared" si="4"/>
        <v>0.1478903871248369</v>
      </c>
      <c r="AB28" s="33">
        <v>14.77</v>
      </c>
      <c r="AC28" s="30">
        <f t="shared" si="5"/>
        <v>0.37862086644450144</v>
      </c>
      <c r="AD28" s="1">
        <v>212.35</v>
      </c>
      <c r="AE28" s="28">
        <f t="shared" si="6"/>
        <v>5.4434760317867212</v>
      </c>
      <c r="AF28" s="33">
        <v>3.3E-3</v>
      </c>
      <c r="AG28" s="1">
        <v>532</v>
      </c>
      <c r="AH28" s="33">
        <v>72.7</v>
      </c>
      <c r="AI28" s="1">
        <v>4.8</v>
      </c>
      <c r="AJ28">
        <v>4.68</v>
      </c>
    </row>
    <row r="29" spans="1:36" ht="15" x14ac:dyDescent="0.3">
      <c r="A29" s="44" t="s">
        <v>106</v>
      </c>
      <c r="B29" s="46" t="s">
        <v>96</v>
      </c>
      <c r="C29" s="46" t="s">
        <v>107</v>
      </c>
      <c r="D29" s="46" t="s">
        <v>108</v>
      </c>
      <c r="E29" s="32">
        <v>200</v>
      </c>
      <c r="F29" s="32">
        <v>16.983225999999998</v>
      </c>
      <c r="G29" s="32">
        <v>74.131974999999997</v>
      </c>
      <c r="H29" s="32">
        <v>7.09</v>
      </c>
      <c r="I29" s="32">
        <v>109.06</v>
      </c>
      <c r="J29" s="32">
        <v>693</v>
      </c>
      <c r="K29" s="32">
        <v>31.5</v>
      </c>
      <c r="L29" s="32">
        <v>1.89</v>
      </c>
      <c r="M29" s="32">
        <v>346</v>
      </c>
      <c r="N29" s="33">
        <v>0.36</v>
      </c>
      <c r="O29" s="1">
        <v>2.9999999999999997E-4</v>
      </c>
      <c r="P29" s="1">
        <v>0.12</v>
      </c>
      <c r="Q29" s="33">
        <v>1.64</v>
      </c>
      <c r="R29" s="1">
        <v>231</v>
      </c>
      <c r="S29" s="26">
        <f t="shared" si="0"/>
        <v>3.785842587615214</v>
      </c>
      <c r="T29" s="33">
        <v>23.04</v>
      </c>
      <c r="U29" s="27">
        <f t="shared" si="1"/>
        <v>1.1497579719546882</v>
      </c>
      <c r="V29" s="1">
        <v>7.7</v>
      </c>
      <c r="W29" s="28">
        <f t="shared" si="2"/>
        <v>0.21720733427362482</v>
      </c>
      <c r="X29" s="33">
        <v>57.4</v>
      </c>
      <c r="Y29" s="29">
        <f t="shared" si="3"/>
        <v>1.1950864043306266</v>
      </c>
      <c r="Z29" s="1">
        <v>1.19</v>
      </c>
      <c r="AA29" s="26">
        <f t="shared" si="4"/>
        <v>5.1761635493692913E-2</v>
      </c>
      <c r="AB29" s="33">
        <v>16.96</v>
      </c>
      <c r="AC29" s="30">
        <f t="shared" si="5"/>
        <v>0.43476031786721359</v>
      </c>
      <c r="AD29" s="1">
        <v>281.38</v>
      </c>
      <c r="AE29" s="28">
        <f t="shared" si="6"/>
        <v>7.2130223019738535</v>
      </c>
      <c r="AF29" s="33">
        <v>2.3999999999999998E-3</v>
      </c>
      <c r="AG29" s="1">
        <v>528</v>
      </c>
      <c r="AH29" s="33">
        <v>61.4</v>
      </c>
      <c r="AI29" s="1">
        <v>5.6</v>
      </c>
      <c r="AJ29">
        <v>4.18</v>
      </c>
    </row>
    <row r="30" spans="1:36" ht="15" x14ac:dyDescent="0.3">
      <c r="A30" s="44" t="s">
        <v>109</v>
      </c>
      <c r="B30" s="46" t="s">
        <v>96</v>
      </c>
      <c r="C30" s="46" t="s">
        <v>110</v>
      </c>
      <c r="D30" s="46" t="s">
        <v>102</v>
      </c>
      <c r="E30" s="32">
        <v>220</v>
      </c>
      <c r="F30" s="32">
        <v>16.983502999999999</v>
      </c>
      <c r="G30" s="32">
        <v>74.131896999999995</v>
      </c>
      <c r="H30" s="32">
        <v>7.04</v>
      </c>
      <c r="I30" s="32">
        <v>110.2</v>
      </c>
      <c r="J30" s="32">
        <v>717</v>
      </c>
      <c r="K30" s="32">
        <v>31.32</v>
      </c>
      <c r="L30" s="32">
        <v>1.85</v>
      </c>
      <c r="M30" s="32">
        <v>359</v>
      </c>
      <c r="N30" s="33">
        <v>0.28000000000000003</v>
      </c>
      <c r="O30" s="1">
        <v>2.9999999999999997E-4</v>
      </c>
      <c r="P30" s="1">
        <v>0.31</v>
      </c>
      <c r="Q30" s="33">
        <v>2.11</v>
      </c>
      <c r="R30" s="1">
        <v>215</v>
      </c>
      <c r="S30" s="26">
        <f t="shared" si="0"/>
        <v>3.5236197244037704</v>
      </c>
      <c r="T30" s="33">
        <v>19.03</v>
      </c>
      <c r="U30" s="27">
        <f t="shared" si="1"/>
        <v>0.94964818603722745</v>
      </c>
      <c r="V30" s="1">
        <v>4.9000000000000004</v>
      </c>
      <c r="W30" s="28">
        <f t="shared" si="2"/>
        <v>0.1382228490832158</v>
      </c>
      <c r="X30" s="33">
        <v>69.3</v>
      </c>
      <c r="Y30" s="29">
        <f t="shared" si="3"/>
        <v>1.4428482198625858</v>
      </c>
      <c r="Z30" s="1">
        <v>0.77</v>
      </c>
      <c r="AA30" s="26">
        <f t="shared" si="4"/>
        <v>3.3492822966507178E-2</v>
      </c>
      <c r="AB30" s="37">
        <v>12.96</v>
      </c>
      <c r="AC30" s="30">
        <f t="shared" si="5"/>
        <v>0.33222250704947454</v>
      </c>
      <c r="AD30" s="1">
        <v>283.88</v>
      </c>
      <c r="AE30" s="28">
        <f t="shared" si="6"/>
        <v>7.2771084337349397</v>
      </c>
      <c r="AF30" s="33">
        <v>4.1000000000000003E-3</v>
      </c>
      <c r="AG30" s="1">
        <v>248</v>
      </c>
      <c r="AH30" s="33">
        <v>51.22</v>
      </c>
      <c r="AI30" s="1">
        <v>6</v>
      </c>
      <c r="AJ30">
        <v>1.3800000000000003</v>
      </c>
    </row>
    <row r="31" spans="1:36" ht="15" x14ac:dyDescent="0.3">
      <c r="A31" s="44" t="s">
        <v>111</v>
      </c>
      <c r="B31" s="46" t="s">
        <v>96</v>
      </c>
      <c r="C31" s="46" t="s">
        <v>112</v>
      </c>
      <c r="D31" s="46" t="s">
        <v>113</v>
      </c>
      <c r="E31" s="32">
        <v>140</v>
      </c>
      <c r="F31" s="32">
        <v>16.984625999999999</v>
      </c>
      <c r="G31" s="32">
        <v>74.132427000000007</v>
      </c>
      <c r="H31" s="32">
        <v>6.99</v>
      </c>
      <c r="I31" s="32">
        <v>114.5</v>
      </c>
      <c r="J31" s="32">
        <v>585</v>
      </c>
      <c r="K31" s="32">
        <v>30.77</v>
      </c>
      <c r="L31" s="32">
        <v>1.85</v>
      </c>
      <c r="M31" s="32">
        <v>292</v>
      </c>
      <c r="N31" s="33">
        <v>0.31</v>
      </c>
      <c r="O31" s="1">
        <v>2.0000000000000001E-4</v>
      </c>
      <c r="P31" s="1">
        <v>0.11</v>
      </c>
      <c r="Q31" s="33">
        <v>3.61</v>
      </c>
      <c r="R31" s="1">
        <v>201</v>
      </c>
      <c r="S31" s="26">
        <f t="shared" si="0"/>
        <v>3.2941747190937578</v>
      </c>
      <c r="T31" s="33">
        <v>90.71</v>
      </c>
      <c r="U31" s="27">
        <f t="shared" si="1"/>
        <v>4.5266729876740346</v>
      </c>
      <c r="V31" s="1">
        <v>6.6</v>
      </c>
      <c r="W31" s="28">
        <f t="shared" si="2"/>
        <v>0.18617771509167841</v>
      </c>
      <c r="X31" s="33">
        <v>176.3</v>
      </c>
      <c r="Y31" s="29">
        <f t="shared" si="3"/>
        <v>3.6706225275869251</v>
      </c>
      <c r="Z31" s="1">
        <v>2.9</v>
      </c>
      <c r="AA31" s="26">
        <f t="shared" si="4"/>
        <v>0.12614180078294912</v>
      </c>
      <c r="AB31" s="33">
        <v>19.47</v>
      </c>
      <c r="AC31" s="30">
        <f t="shared" si="5"/>
        <v>0.49910279415534475</v>
      </c>
      <c r="AD31" s="1">
        <v>237.45</v>
      </c>
      <c r="AE31" s="28">
        <f t="shared" si="6"/>
        <v>6.0869007946680336</v>
      </c>
      <c r="AF31" s="33">
        <v>1.2999999999999999E-3</v>
      </c>
      <c r="AG31" s="1">
        <v>440</v>
      </c>
      <c r="AH31" s="33">
        <v>70.8</v>
      </c>
      <c r="AI31" s="1">
        <v>6.9</v>
      </c>
      <c r="AJ31">
        <v>3.0799999999999996</v>
      </c>
    </row>
    <row r="32" spans="1:36" ht="15" x14ac:dyDescent="0.3">
      <c r="A32" s="44" t="s">
        <v>114</v>
      </c>
      <c r="B32" s="46" t="s">
        <v>96</v>
      </c>
      <c r="C32" s="46" t="s">
        <v>115</v>
      </c>
      <c r="D32" s="46" t="s">
        <v>102</v>
      </c>
      <c r="E32" s="32">
        <v>120</v>
      </c>
      <c r="F32" s="32">
        <v>16.984573000000001</v>
      </c>
      <c r="G32" s="32">
        <v>74.132671000000002</v>
      </c>
      <c r="H32" s="32">
        <v>6.97</v>
      </c>
      <c r="I32" s="32">
        <v>117.7</v>
      </c>
      <c r="J32" s="32">
        <v>698</v>
      </c>
      <c r="K32" s="32">
        <v>30.56</v>
      </c>
      <c r="L32" s="32">
        <v>1.89</v>
      </c>
      <c r="M32" s="32">
        <v>349</v>
      </c>
      <c r="N32" s="33">
        <v>0.34</v>
      </c>
      <c r="O32" s="1">
        <v>1E-4</v>
      </c>
      <c r="P32" s="1">
        <v>0.62</v>
      </c>
      <c r="Q32" s="33">
        <v>2.94</v>
      </c>
      <c r="R32" s="1">
        <v>186</v>
      </c>
      <c r="S32" s="26">
        <f t="shared" si="0"/>
        <v>3.0483407848330293</v>
      </c>
      <c r="T32" s="33">
        <v>120.07</v>
      </c>
      <c r="U32" s="27">
        <f t="shared" si="1"/>
        <v>5.9918159588801831</v>
      </c>
      <c r="V32" s="1">
        <v>4.8</v>
      </c>
      <c r="W32" s="28">
        <f t="shared" si="2"/>
        <v>0.13540197461212974</v>
      </c>
      <c r="X32" s="33">
        <v>52.8</v>
      </c>
      <c r="Y32" s="29">
        <f t="shared" si="3"/>
        <v>1.0993129294191131</v>
      </c>
      <c r="Z32" s="1">
        <v>0.77</v>
      </c>
      <c r="AA32" s="26">
        <f t="shared" si="4"/>
        <v>3.3492822966507178E-2</v>
      </c>
      <c r="AB32" s="33">
        <v>12.96</v>
      </c>
      <c r="AC32" s="30">
        <f t="shared" si="5"/>
        <v>0.33222250704947454</v>
      </c>
      <c r="AD32" s="1">
        <v>108.91</v>
      </c>
      <c r="AE32" s="28">
        <f t="shared" si="6"/>
        <v>2.7918482440399899</v>
      </c>
      <c r="AF32" s="33">
        <v>6.0000000000000001E-3</v>
      </c>
      <c r="AG32" s="1">
        <v>480</v>
      </c>
      <c r="AH32" s="33">
        <v>61.9</v>
      </c>
      <c r="AI32" s="1">
        <v>8.1999999999999993</v>
      </c>
      <c r="AJ32">
        <v>1.2799999999999998</v>
      </c>
    </row>
    <row r="33" spans="1:36" ht="15" x14ac:dyDescent="0.3">
      <c r="A33" s="44" t="s">
        <v>116</v>
      </c>
      <c r="B33" s="46" t="s">
        <v>96</v>
      </c>
      <c r="C33" s="46" t="s">
        <v>117</v>
      </c>
      <c r="D33" s="46" t="s">
        <v>70</v>
      </c>
      <c r="E33" s="32">
        <v>190</v>
      </c>
      <c r="F33" s="32">
        <v>16.984818000000001</v>
      </c>
      <c r="G33" s="32">
        <v>74.131934999999999</v>
      </c>
      <c r="H33" s="32">
        <v>6.9</v>
      </c>
      <c r="I33" s="32">
        <v>119.7</v>
      </c>
      <c r="J33" s="32">
        <v>578</v>
      </c>
      <c r="K33" s="32">
        <v>30.32</v>
      </c>
      <c r="L33" s="32">
        <v>1.88</v>
      </c>
      <c r="M33" s="32">
        <v>289</v>
      </c>
      <c r="N33" s="33">
        <v>0.32</v>
      </c>
      <c r="O33" s="1">
        <v>4.0000000000000002E-4</v>
      </c>
      <c r="P33" s="1">
        <v>0.33</v>
      </c>
      <c r="Q33" s="33">
        <v>1.05</v>
      </c>
      <c r="R33" s="1">
        <v>146</v>
      </c>
      <c r="S33" s="26">
        <f t="shared" si="0"/>
        <v>2.3927836268044209</v>
      </c>
      <c r="T33" s="33">
        <v>98.61</v>
      </c>
      <c r="U33" s="27">
        <f t="shared" si="1"/>
        <v>4.9209042367383597</v>
      </c>
      <c r="V33" s="1">
        <v>8.3000000000000007</v>
      </c>
      <c r="W33" s="28">
        <f t="shared" si="2"/>
        <v>0.23413258110014104</v>
      </c>
      <c r="X33" s="33">
        <v>75.2</v>
      </c>
      <c r="Y33" s="29">
        <f t="shared" si="3"/>
        <v>1.5656881115969186</v>
      </c>
      <c r="Z33" s="1">
        <v>2.0499999999999998</v>
      </c>
      <c r="AA33" s="26">
        <f t="shared" si="4"/>
        <v>8.9169204001739888E-2</v>
      </c>
      <c r="AB33" s="33">
        <v>16.059999999999999</v>
      </c>
      <c r="AC33" s="30">
        <f t="shared" si="5"/>
        <v>0.41168931043322227</v>
      </c>
      <c r="AD33" s="1">
        <v>138.03</v>
      </c>
      <c r="AE33" s="28">
        <f t="shared" si="6"/>
        <v>3.5383235067931302</v>
      </c>
      <c r="AF33" s="33">
        <v>1.6999999999999999E-3</v>
      </c>
      <c r="AG33" s="1">
        <v>432</v>
      </c>
      <c r="AH33" s="33">
        <v>53.64</v>
      </c>
      <c r="AI33" s="1">
        <v>5.4</v>
      </c>
      <c r="AJ33">
        <v>4.7800000000000011</v>
      </c>
    </row>
    <row r="34" spans="1:36" ht="15" x14ac:dyDescent="0.3">
      <c r="A34" s="44" t="s">
        <v>118</v>
      </c>
      <c r="B34" s="46" t="s">
        <v>96</v>
      </c>
      <c r="C34" s="46" t="s">
        <v>119</v>
      </c>
      <c r="D34" s="46" t="s">
        <v>113</v>
      </c>
      <c r="E34" s="32">
        <v>175</v>
      </c>
      <c r="F34" s="32">
        <v>16.989038999999998</v>
      </c>
      <c r="G34" s="32">
        <v>74.139902000000006</v>
      </c>
      <c r="H34" s="32">
        <v>6.85</v>
      </c>
      <c r="I34" s="32">
        <v>117.2</v>
      </c>
      <c r="J34" s="32">
        <v>140</v>
      </c>
      <c r="K34" s="32">
        <v>30.49</v>
      </c>
      <c r="L34" s="32">
        <v>1.78</v>
      </c>
      <c r="M34" s="32">
        <v>70</v>
      </c>
      <c r="N34" s="33">
        <v>0.25</v>
      </c>
      <c r="O34" s="1">
        <v>4.0000000000000002E-4</v>
      </c>
      <c r="P34" s="1">
        <v>1.2E-2</v>
      </c>
      <c r="Q34" s="33">
        <v>1.42</v>
      </c>
      <c r="R34" s="1">
        <v>172</v>
      </c>
      <c r="S34" s="26">
        <f t="shared" si="0"/>
        <v>2.8188957795230163</v>
      </c>
      <c r="T34" s="38">
        <v>83.72</v>
      </c>
      <c r="U34" s="27">
        <f t="shared" si="1"/>
        <v>4.1778531862867405</v>
      </c>
      <c r="V34" s="1">
        <v>5.0999999999999996</v>
      </c>
      <c r="W34" s="28">
        <f t="shared" si="2"/>
        <v>0.14386459802538784</v>
      </c>
      <c r="X34" s="33">
        <v>53.6</v>
      </c>
      <c r="Y34" s="29">
        <f t="shared" si="3"/>
        <v>1.1159691859254632</v>
      </c>
      <c r="Z34" s="1">
        <v>0.71</v>
      </c>
      <c r="AA34" s="26">
        <f t="shared" si="4"/>
        <v>3.0882992605480643E-2</v>
      </c>
      <c r="AB34" s="38">
        <v>13.61</v>
      </c>
      <c r="AC34" s="30">
        <f t="shared" si="5"/>
        <v>0.34888490130735711</v>
      </c>
      <c r="AD34" s="1">
        <v>131.43</v>
      </c>
      <c r="AE34" s="28">
        <f t="shared" si="6"/>
        <v>3.3691361189438611</v>
      </c>
      <c r="AF34" s="33">
        <v>2.8E-3</v>
      </c>
      <c r="AG34" s="1">
        <v>320</v>
      </c>
      <c r="AH34" s="38">
        <v>43.1</v>
      </c>
      <c r="AI34" s="1">
        <v>7.1</v>
      </c>
      <c r="AJ34">
        <v>1.5799999999999996</v>
      </c>
    </row>
    <row r="35" spans="1:36" ht="15" x14ac:dyDescent="0.3">
      <c r="A35" s="44" t="s">
        <v>120</v>
      </c>
      <c r="B35" s="46" t="s">
        <v>37</v>
      </c>
      <c r="C35" s="46" t="s">
        <v>121</v>
      </c>
      <c r="D35" s="46" t="s">
        <v>122</v>
      </c>
      <c r="E35" s="32">
        <v>200</v>
      </c>
      <c r="F35" s="32">
        <v>17.094778999999999</v>
      </c>
      <c r="G35" s="32">
        <v>74.346800000000002</v>
      </c>
      <c r="H35" s="32">
        <v>7.25</v>
      </c>
      <c r="I35" s="32">
        <v>115.7</v>
      </c>
      <c r="J35" s="32">
        <v>813</v>
      </c>
      <c r="K35" s="32">
        <v>32.22</v>
      </c>
      <c r="L35" s="32">
        <v>1.3</v>
      </c>
      <c r="M35" s="32">
        <v>414</v>
      </c>
      <c r="N35" s="33">
        <v>0.28000000000000003</v>
      </c>
      <c r="O35" s="1">
        <v>2.9999999999999997E-4</v>
      </c>
      <c r="P35" s="1">
        <v>0.15</v>
      </c>
      <c r="Q35" s="33">
        <v>0.63</v>
      </c>
      <c r="R35" s="1">
        <v>188</v>
      </c>
      <c r="S35" s="26">
        <f t="shared" si="0"/>
        <v>3.0811186427344599</v>
      </c>
      <c r="T35" s="33">
        <v>113.76</v>
      </c>
      <c r="U35" s="27">
        <f t="shared" si="1"/>
        <v>5.6769299865262735</v>
      </c>
      <c r="V35" s="1">
        <v>6.5</v>
      </c>
      <c r="W35" s="28">
        <f t="shared" si="2"/>
        <v>0.18335684062059238</v>
      </c>
      <c r="X35" s="33">
        <v>67.2</v>
      </c>
      <c r="Y35" s="29">
        <f t="shared" si="3"/>
        <v>1.3991255465334167</v>
      </c>
      <c r="Z35" s="1">
        <v>6.36</v>
      </c>
      <c r="AA35" s="26">
        <f t="shared" si="4"/>
        <v>0.27664201826881257</v>
      </c>
      <c r="AB35" s="33">
        <v>12.96</v>
      </c>
      <c r="AC35" s="30">
        <f t="shared" si="5"/>
        <v>0.33222250704947454</v>
      </c>
      <c r="AD35" s="1">
        <v>154.35</v>
      </c>
      <c r="AE35" s="28">
        <f t="shared" si="6"/>
        <v>3.9566777749295055</v>
      </c>
      <c r="AF35" s="33">
        <v>3.0999999999999999E-3</v>
      </c>
      <c r="AG35" s="1">
        <v>380</v>
      </c>
      <c r="AH35" s="33">
        <v>42.4</v>
      </c>
      <c r="AI35" s="1">
        <v>6.1</v>
      </c>
      <c r="AJ35">
        <v>2.98</v>
      </c>
    </row>
    <row r="36" spans="1:36" ht="15" x14ac:dyDescent="0.3">
      <c r="A36" s="44" t="s">
        <v>123</v>
      </c>
      <c r="B36" s="46" t="s">
        <v>124</v>
      </c>
      <c r="C36" s="46" t="s">
        <v>125</v>
      </c>
      <c r="D36" s="46" t="s">
        <v>126</v>
      </c>
      <c r="E36" s="32">
        <v>150</v>
      </c>
      <c r="F36" s="32">
        <v>17.072673999999999</v>
      </c>
      <c r="G36" s="32">
        <v>74.361603000000002</v>
      </c>
      <c r="H36" s="32">
        <v>7.26</v>
      </c>
      <c r="I36" s="32">
        <v>-777.7</v>
      </c>
      <c r="J36" s="32">
        <v>1915</v>
      </c>
      <c r="K36" s="32">
        <v>33.479999999999997</v>
      </c>
      <c r="L36" s="32">
        <v>1.31</v>
      </c>
      <c r="M36" s="32">
        <v>959</v>
      </c>
      <c r="N36" s="33">
        <v>0.18</v>
      </c>
      <c r="O36" s="1">
        <v>2.9999999999999997E-4</v>
      </c>
      <c r="P36" s="1">
        <v>0.21</v>
      </c>
      <c r="Q36" s="25">
        <v>0.22</v>
      </c>
      <c r="R36" s="1">
        <v>123</v>
      </c>
      <c r="S36" s="26">
        <f t="shared" si="0"/>
        <v>2.0158382609379712</v>
      </c>
      <c r="T36" s="33">
        <v>58.83</v>
      </c>
      <c r="U36" s="27">
        <f t="shared" si="1"/>
        <v>2.9357752382853435</v>
      </c>
      <c r="V36" s="1">
        <v>7.4</v>
      </c>
      <c r="W36" s="28">
        <f t="shared" si="2"/>
        <v>0.20874471086036669</v>
      </c>
      <c r="X36" s="25">
        <v>95.7</v>
      </c>
      <c r="Y36" s="29">
        <f t="shared" si="3"/>
        <v>1.9925046845721424</v>
      </c>
      <c r="Z36" s="1">
        <v>4.71</v>
      </c>
      <c r="AA36" s="26">
        <f t="shared" si="4"/>
        <v>0.20487168334058287</v>
      </c>
      <c r="AB36" s="33">
        <v>18.420000000000002</v>
      </c>
      <c r="AC36" s="30">
        <f t="shared" si="5"/>
        <v>0.47218661881568835</v>
      </c>
      <c r="AD36" s="1">
        <v>139.46</v>
      </c>
      <c r="AE36" s="28">
        <f t="shared" si="6"/>
        <v>3.5749807741604722</v>
      </c>
      <c r="AF36" s="25">
        <v>2.0000000000000001E-4</v>
      </c>
      <c r="AG36" s="1">
        <v>500</v>
      </c>
      <c r="AH36" s="33">
        <v>28.5</v>
      </c>
      <c r="AI36" s="1">
        <v>8.1999999999999993</v>
      </c>
      <c r="AJ36">
        <v>3.8800000000000003</v>
      </c>
    </row>
    <row r="37" spans="1:36" ht="15" x14ac:dyDescent="0.3">
      <c r="A37" s="44" t="s">
        <v>127</v>
      </c>
      <c r="B37" s="46" t="s">
        <v>124</v>
      </c>
      <c r="C37" s="46" t="s">
        <v>128</v>
      </c>
      <c r="D37" s="46">
        <v>15</v>
      </c>
      <c r="E37" s="32">
        <v>100</v>
      </c>
      <c r="F37" s="32">
        <v>17.069400000000002</v>
      </c>
      <c r="G37" s="32">
        <v>74.362564000000006</v>
      </c>
      <c r="H37" s="32">
        <v>7.19</v>
      </c>
      <c r="I37" s="32">
        <v>-11.2</v>
      </c>
      <c r="J37" s="32">
        <v>1383</v>
      </c>
      <c r="K37" s="32">
        <v>31.95</v>
      </c>
      <c r="L37" s="32">
        <v>1.37</v>
      </c>
      <c r="M37" s="32">
        <v>692</v>
      </c>
      <c r="N37" s="33">
        <v>0.34</v>
      </c>
      <c r="O37" s="1">
        <v>2.0000000000000001E-4</v>
      </c>
      <c r="P37" s="1">
        <v>0.28999999999999998</v>
      </c>
      <c r="Q37" s="33">
        <v>0.16</v>
      </c>
      <c r="R37" s="1">
        <v>154</v>
      </c>
      <c r="S37" s="26">
        <f t="shared" si="0"/>
        <v>2.5238950584101425</v>
      </c>
      <c r="T37" s="32">
        <v>66.52</v>
      </c>
      <c r="U37" s="27">
        <f t="shared" si="1"/>
        <v>3.3195269225011224</v>
      </c>
      <c r="V37" s="1">
        <v>2.6</v>
      </c>
      <c r="W37" s="28">
        <f t="shared" si="2"/>
        <v>7.334273624823695E-2</v>
      </c>
      <c r="X37" s="33">
        <v>89.2</v>
      </c>
      <c r="Y37" s="29">
        <f t="shared" si="3"/>
        <v>1.8571726004580471</v>
      </c>
      <c r="Z37" s="1">
        <v>2.69</v>
      </c>
      <c r="AA37" s="26">
        <f t="shared" si="4"/>
        <v>0.11700739451935625</v>
      </c>
      <c r="AB37" s="32">
        <v>13.37</v>
      </c>
      <c r="AC37" s="30">
        <f t="shared" si="5"/>
        <v>0.34273263265829274</v>
      </c>
      <c r="AD37" s="1">
        <v>200.78</v>
      </c>
      <c r="AE37" s="28">
        <f t="shared" si="6"/>
        <v>5.1468854139964115</v>
      </c>
      <c r="AF37" s="33">
        <v>1E-3</v>
      </c>
      <c r="AG37" s="1">
        <v>320</v>
      </c>
      <c r="AH37" s="32">
        <v>43.3</v>
      </c>
      <c r="AI37" s="1">
        <v>7.7</v>
      </c>
      <c r="AJ37">
        <v>22.48</v>
      </c>
    </row>
    <row r="38" spans="1:36" ht="15" x14ac:dyDescent="0.3">
      <c r="A38" s="44" t="s">
        <v>129</v>
      </c>
      <c r="B38" s="46" t="s">
        <v>124</v>
      </c>
      <c r="C38" s="46" t="s">
        <v>130</v>
      </c>
      <c r="D38" s="46" t="s">
        <v>105</v>
      </c>
      <c r="E38" s="32">
        <v>100</v>
      </c>
      <c r="F38" s="32">
        <v>17.071432000000001</v>
      </c>
      <c r="G38" s="32">
        <v>74.363472999999999</v>
      </c>
      <c r="H38" s="32">
        <v>7.61</v>
      </c>
      <c r="I38" s="32">
        <v>13</v>
      </c>
      <c r="J38" s="32">
        <v>1034</v>
      </c>
      <c r="K38" s="32">
        <v>31.85</v>
      </c>
      <c r="L38" s="32">
        <v>1.4</v>
      </c>
      <c r="M38" s="32">
        <v>517</v>
      </c>
      <c r="N38" s="33">
        <v>0.37</v>
      </c>
      <c r="O38" s="1">
        <v>1E-4</v>
      </c>
      <c r="P38" s="1">
        <v>0.21</v>
      </c>
      <c r="Q38" s="33">
        <v>0.84</v>
      </c>
      <c r="R38" s="1">
        <v>140</v>
      </c>
      <c r="S38" s="26">
        <f t="shared" si="0"/>
        <v>2.2944500531001295</v>
      </c>
      <c r="T38" s="32">
        <v>23.04</v>
      </c>
      <c r="U38" s="27">
        <f t="shared" si="1"/>
        <v>1.1497579719546882</v>
      </c>
      <c r="V38" s="1">
        <v>4.9000000000000004</v>
      </c>
      <c r="W38" s="28">
        <f t="shared" si="2"/>
        <v>0.1382228490832158</v>
      </c>
      <c r="X38" s="33">
        <v>62.7</v>
      </c>
      <c r="Y38" s="29">
        <f t="shared" si="3"/>
        <v>1.3054341036851969</v>
      </c>
      <c r="Z38" s="1">
        <v>12.62</v>
      </c>
      <c r="AA38" s="26">
        <f t="shared" si="4"/>
        <v>0.54893431926924752</v>
      </c>
      <c r="AB38" s="32">
        <v>14.36</v>
      </c>
      <c r="AC38" s="30">
        <f t="shared" si="5"/>
        <v>0.36811074083568318</v>
      </c>
      <c r="AD38" s="1">
        <v>162.21</v>
      </c>
      <c r="AE38" s="28">
        <f t="shared" si="6"/>
        <v>4.1581645731863626</v>
      </c>
      <c r="AF38" s="33">
        <v>2.3E-2</v>
      </c>
      <c r="AG38" s="1">
        <v>392</v>
      </c>
      <c r="AH38" s="32">
        <v>40.200000000000003</v>
      </c>
      <c r="AI38" s="32">
        <v>7.09</v>
      </c>
      <c r="AJ38">
        <v>1.3800000000000003</v>
      </c>
    </row>
    <row r="39" spans="1:36" ht="15" x14ac:dyDescent="0.3">
      <c r="A39" s="44" t="s">
        <v>131</v>
      </c>
      <c r="B39" s="46" t="s">
        <v>124</v>
      </c>
      <c r="C39" s="46" t="s">
        <v>132</v>
      </c>
      <c r="D39" s="46" t="s">
        <v>133</v>
      </c>
      <c r="E39" s="32">
        <v>180</v>
      </c>
      <c r="F39" s="32">
        <v>17.070788</v>
      </c>
      <c r="G39" s="32">
        <v>74.358862999999999</v>
      </c>
      <c r="H39" s="32">
        <v>7.7</v>
      </c>
      <c r="I39" s="32">
        <v>27.4</v>
      </c>
      <c r="J39" s="32">
        <v>1734</v>
      </c>
      <c r="K39" s="32">
        <v>31.2</v>
      </c>
      <c r="L39" s="32">
        <v>1.45</v>
      </c>
      <c r="M39" s="32">
        <v>867</v>
      </c>
      <c r="N39" s="33">
        <v>0.28000000000000003</v>
      </c>
      <c r="O39" s="1">
        <v>4.0000000000000002E-4</v>
      </c>
      <c r="P39" s="1">
        <v>0.27</v>
      </c>
      <c r="Q39" s="33">
        <v>1.3</v>
      </c>
      <c r="R39" s="1">
        <v>133</v>
      </c>
      <c r="S39" s="26">
        <f t="shared" si="0"/>
        <v>2.179727550445123</v>
      </c>
      <c r="T39" s="32">
        <v>19.03</v>
      </c>
      <c r="U39" s="27">
        <f t="shared" si="1"/>
        <v>0.94964818603722745</v>
      </c>
      <c r="V39" s="1">
        <v>3.8</v>
      </c>
      <c r="W39" s="28">
        <f t="shared" si="2"/>
        <v>0.10719322990126938</v>
      </c>
      <c r="X39" s="33">
        <v>61.5</v>
      </c>
      <c r="Y39" s="29">
        <f t="shared" si="3"/>
        <v>1.2804497189256714</v>
      </c>
      <c r="Z39" s="1">
        <v>2.79</v>
      </c>
      <c r="AA39" s="26">
        <f t="shared" si="4"/>
        <v>0.12135711178773381</v>
      </c>
      <c r="AB39" s="32">
        <v>15.11</v>
      </c>
      <c r="AC39" s="30">
        <f t="shared" si="5"/>
        <v>0.38733658036400925</v>
      </c>
      <c r="AD39" s="1">
        <v>180.35</v>
      </c>
      <c r="AE39" s="28">
        <f t="shared" si="6"/>
        <v>4.6231735452448088</v>
      </c>
      <c r="AF39" s="33">
        <v>1.4999999999999999E-2</v>
      </c>
      <c r="AG39" s="1">
        <v>292</v>
      </c>
      <c r="AH39" s="32">
        <v>45.1</v>
      </c>
      <c r="AI39" s="32">
        <v>7.04</v>
      </c>
      <c r="AJ39">
        <v>0.2799999999999998</v>
      </c>
    </row>
    <row r="40" spans="1:36" ht="15" x14ac:dyDescent="0.3">
      <c r="A40" s="44" t="s">
        <v>134</v>
      </c>
      <c r="B40" s="46" t="s">
        <v>124</v>
      </c>
      <c r="C40" s="46" t="s">
        <v>135</v>
      </c>
      <c r="D40" s="46" t="s">
        <v>136</v>
      </c>
      <c r="E40" s="32">
        <v>150</v>
      </c>
      <c r="F40" s="32">
        <v>17.070924999999999</v>
      </c>
      <c r="G40" s="32">
        <v>74.358542999999997</v>
      </c>
      <c r="H40" s="32">
        <v>7.21</v>
      </c>
      <c r="I40" s="32">
        <v>35.4</v>
      </c>
      <c r="J40" s="32">
        <v>1346</v>
      </c>
      <c r="K40" s="32">
        <v>31.12</v>
      </c>
      <c r="L40" s="32">
        <v>1.54</v>
      </c>
      <c r="M40" s="32">
        <v>673</v>
      </c>
      <c r="N40" s="33">
        <v>0.31</v>
      </c>
      <c r="O40" s="1">
        <v>2.0000000000000001E-4</v>
      </c>
      <c r="P40" s="1">
        <v>0.13</v>
      </c>
      <c r="Q40" s="33">
        <v>1.1200000000000001</v>
      </c>
      <c r="R40" s="1">
        <v>105</v>
      </c>
      <c r="S40" s="26">
        <f t="shared" si="0"/>
        <v>1.7208375398250972</v>
      </c>
      <c r="T40" s="32">
        <v>28.12</v>
      </c>
      <c r="U40" s="27">
        <f t="shared" si="1"/>
        <v>1.4032636359099755</v>
      </c>
      <c r="V40" s="1">
        <v>7.8</v>
      </c>
      <c r="W40" s="28">
        <f t="shared" si="2"/>
        <v>0.22002820874471085</v>
      </c>
      <c r="X40" s="33">
        <v>53.7</v>
      </c>
      <c r="Y40" s="29">
        <f t="shared" si="3"/>
        <v>1.118051217988757</v>
      </c>
      <c r="Z40" s="1">
        <v>6.9700000000000006</v>
      </c>
      <c r="AA40" s="26">
        <f t="shared" si="4"/>
        <v>0.30317529360591566</v>
      </c>
      <c r="AB40" s="32">
        <v>10.36</v>
      </c>
      <c r="AC40" s="30">
        <f t="shared" si="5"/>
        <v>0.26557293001794413</v>
      </c>
      <c r="AD40" s="1">
        <v>134.38999999999999</v>
      </c>
      <c r="AE40" s="28">
        <f t="shared" si="6"/>
        <v>3.4450140989489872</v>
      </c>
      <c r="AF40" s="33">
        <v>0.02</v>
      </c>
      <c r="AG40" s="1">
        <v>492</v>
      </c>
      <c r="AH40" s="32">
        <v>26.2</v>
      </c>
      <c r="AI40" s="32">
        <v>6.99</v>
      </c>
      <c r="AJ40">
        <v>4.2799999999999994</v>
      </c>
    </row>
    <row r="41" spans="1:36" ht="15" x14ac:dyDescent="0.3">
      <c r="A41" s="44" t="s">
        <v>137</v>
      </c>
      <c r="B41" s="46" t="s">
        <v>124</v>
      </c>
      <c r="C41" s="46" t="s">
        <v>138</v>
      </c>
      <c r="D41" s="46" t="s">
        <v>139</v>
      </c>
      <c r="E41" s="32">
        <v>130</v>
      </c>
      <c r="F41" s="32">
        <v>17.070858999999999</v>
      </c>
      <c r="G41" s="32">
        <v>74.359275999999994</v>
      </c>
      <c r="H41" s="32">
        <v>7.34</v>
      </c>
      <c r="I41" s="32">
        <v>53.7</v>
      </c>
      <c r="J41" s="32">
        <v>1326</v>
      </c>
      <c r="K41" s="32">
        <v>30.65</v>
      </c>
      <c r="L41" s="32">
        <v>1.58</v>
      </c>
      <c r="M41" s="32">
        <v>663</v>
      </c>
      <c r="N41" s="33">
        <v>0.39</v>
      </c>
      <c r="O41" s="1">
        <v>5.0000000000000001E-4</v>
      </c>
      <c r="P41" s="1">
        <v>0.17</v>
      </c>
      <c r="Q41" s="33">
        <v>0.84</v>
      </c>
      <c r="R41" s="1">
        <v>134</v>
      </c>
      <c r="S41" s="26">
        <f t="shared" si="0"/>
        <v>2.1961164793958385</v>
      </c>
      <c r="T41" s="32">
        <v>90.55</v>
      </c>
      <c r="U41" s="27">
        <f t="shared" si="1"/>
        <v>4.5186885573132392</v>
      </c>
      <c r="V41" s="1">
        <v>17.899999999999999</v>
      </c>
      <c r="W41" s="28">
        <f t="shared" si="2"/>
        <v>0.50493653032440045</v>
      </c>
      <c r="X41" s="33">
        <v>64.2</v>
      </c>
      <c r="Y41" s="29">
        <f t="shared" si="3"/>
        <v>1.3366645846346035</v>
      </c>
      <c r="Z41" s="1">
        <v>1.1100000000000001</v>
      </c>
      <c r="AA41" s="26">
        <f t="shared" si="4"/>
        <v>4.8281861678990873E-2</v>
      </c>
      <c r="AB41" s="32">
        <v>11.37</v>
      </c>
      <c r="AC41" s="30">
        <f t="shared" si="5"/>
        <v>0.29146372724942321</v>
      </c>
      <c r="AD41" s="1">
        <v>112.5</v>
      </c>
      <c r="AE41" s="28">
        <f t="shared" si="6"/>
        <v>2.8838759292489109</v>
      </c>
      <c r="AF41" s="33">
        <v>1.6000000000000001E-3</v>
      </c>
      <c r="AG41" s="1">
        <v>360</v>
      </c>
      <c r="AH41" s="32">
        <v>12.6</v>
      </c>
      <c r="AI41" s="32">
        <v>6.97</v>
      </c>
      <c r="AJ41">
        <v>14.379999999999999</v>
      </c>
    </row>
    <row r="42" spans="1:36" ht="15" x14ac:dyDescent="0.3">
      <c r="A42" s="44" t="s">
        <v>140</v>
      </c>
      <c r="B42" s="49" t="s">
        <v>141</v>
      </c>
      <c r="C42" s="49" t="s">
        <v>142</v>
      </c>
      <c r="D42" s="49" t="s">
        <v>143</v>
      </c>
      <c r="E42" s="31">
        <v>200</v>
      </c>
      <c r="F42" s="39">
        <v>17.029135</v>
      </c>
      <c r="G42" s="32">
        <v>74.348399000000001</v>
      </c>
      <c r="H42" s="31">
        <v>7.35</v>
      </c>
      <c r="I42" s="31">
        <v>154.19999999999999</v>
      </c>
      <c r="J42" s="31">
        <v>1375</v>
      </c>
      <c r="K42" s="31">
        <v>32.380000000000003</v>
      </c>
      <c r="L42" s="31">
        <v>1.43</v>
      </c>
      <c r="M42" s="31">
        <v>688</v>
      </c>
      <c r="N42" s="33">
        <v>0.38</v>
      </c>
      <c r="O42" s="1">
        <v>6.9999999999999999E-4</v>
      </c>
      <c r="P42" s="1">
        <v>0.10199999999999999</v>
      </c>
      <c r="Q42" s="33">
        <v>0.61</v>
      </c>
      <c r="R42" s="1">
        <v>166</v>
      </c>
      <c r="S42" s="26">
        <f t="shared" si="0"/>
        <v>2.7205622058187253</v>
      </c>
      <c r="T42" s="31">
        <v>103.09</v>
      </c>
      <c r="U42" s="27">
        <f t="shared" si="1"/>
        <v>5.1444682868406604</v>
      </c>
      <c r="V42" s="1">
        <v>13.4</v>
      </c>
      <c r="W42" s="28">
        <f t="shared" si="2"/>
        <v>0.37799717912552888</v>
      </c>
      <c r="X42" s="33">
        <v>47.5</v>
      </c>
      <c r="Y42" s="29">
        <f t="shared" si="3"/>
        <v>0.98896523006454296</v>
      </c>
      <c r="Z42" s="1">
        <v>1.32</v>
      </c>
      <c r="AA42" s="26">
        <f t="shared" si="4"/>
        <v>5.741626794258374E-2</v>
      </c>
      <c r="AB42" s="31">
        <v>13.4</v>
      </c>
      <c r="AC42" s="30">
        <f t="shared" si="5"/>
        <v>0.3435016662394258</v>
      </c>
      <c r="AD42" s="1">
        <v>123.18</v>
      </c>
      <c r="AE42" s="28">
        <f t="shared" si="6"/>
        <v>3.157651884132274</v>
      </c>
      <c r="AF42" s="33">
        <v>6.0000000000000001E-3</v>
      </c>
      <c r="AG42" s="1">
        <v>564</v>
      </c>
      <c r="AH42" s="31">
        <v>22.3</v>
      </c>
      <c r="AI42" s="32">
        <v>6.9</v>
      </c>
      <c r="AJ42">
        <v>9.8800000000000008</v>
      </c>
    </row>
    <row r="43" spans="1:36" ht="15" x14ac:dyDescent="0.3">
      <c r="A43" s="44" t="s">
        <v>144</v>
      </c>
      <c r="B43" s="41" t="s">
        <v>141</v>
      </c>
      <c r="C43" s="46" t="s">
        <v>145</v>
      </c>
      <c r="D43" s="46" t="s">
        <v>146</v>
      </c>
      <c r="E43" s="32">
        <v>200</v>
      </c>
      <c r="F43" s="39">
        <v>17.029136000000001</v>
      </c>
      <c r="G43" s="39">
        <v>74.348401999999993</v>
      </c>
      <c r="H43" s="32">
        <v>7.05</v>
      </c>
      <c r="I43" s="32">
        <v>127</v>
      </c>
      <c r="J43" s="32">
        <v>1955</v>
      </c>
      <c r="K43" s="32">
        <v>32.19</v>
      </c>
      <c r="L43" s="32">
        <v>1.33</v>
      </c>
      <c r="M43" s="32">
        <v>978</v>
      </c>
      <c r="N43" s="40">
        <v>0.32</v>
      </c>
      <c r="O43" s="1">
        <v>4.0000000000000002E-4</v>
      </c>
      <c r="P43" s="1">
        <v>0.03</v>
      </c>
      <c r="Q43" s="33">
        <v>0.71</v>
      </c>
      <c r="R43" s="1">
        <v>184</v>
      </c>
      <c r="S43" s="26">
        <f t="shared" si="0"/>
        <v>3.0155629269315991</v>
      </c>
      <c r="T43" s="32">
        <v>25.97</v>
      </c>
      <c r="U43" s="27">
        <f t="shared" si="1"/>
        <v>1.2959728529367731</v>
      </c>
      <c r="V43" s="1">
        <v>19.899999999999999</v>
      </c>
      <c r="W43" s="28">
        <f t="shared" si="2"/>
        <v>0.5613540197461212</v>
      </c>
      <c r="X43" s="37">
        <v>102.9</v>
      </c>
      <c r="Y43" s="29">
        <f t="shared" si="3"/>
        <v>2.1424109931292943</v>
      </c>
      <c r="Z43" s="1">
        <v>4.0199999999999996</v>
      </c>
      <c r="AA43" s="26">
        <f t="shared" si="4"/>
        <v>0.17485863418877773</v>
      </c>
      <c r="AB43" s="32">
        <v>14.47</v>
      </c>
      <c r="AC43" s="30">
        <f t="shared" si="5"/>
        <v>0.370930530633171</v>
      </c>
      <c r="AD43" s="1">
        <v>273.31</v>
      </c>
      <c r="AE43" s="28">
        <f t="shared" si="6"/>
        <v>7.0061522686490649</v>
      </c>
      <c r="AF43" s="33">
        <v>1.6999999999999999E-3</v>
      </c>
      <c r="AG43" s="1">
        <v>280</v>
      </c>
      <c r="AH43" s="32">
        <v>28.8</v>
      </c>
      <c r="AI43" s="32">
        <v>6.85</v>
      </c>
      <c r="AJ43">
        <v>16.38</v>
      </c>
    </row>
    <row r="44" spans="1:36" ht="15" x14ac:dyDescent="0.3">
      <c r="A44" s="44" t="s">
        <v>147</v>
      </c>
      <c r="B44" s="41" t="s">
        <v>141</v>
      </c>
      <c r="C44" s="46" t="s">
        <v>148</v>
      </c>
      <c r="D44" s="46" t="s">
        <v>113</v>
      </c>
      <c r="E44" s="32">
        <v>200</v>
      </c>
      <c r="F44" s="39">
        <v>17.02881</v>
      </c>
      <c r="G44" s="39">
        <v>74.349140000000006</v>
      </c>
      <c r="H44" s="32">
        <v>7.24</v>
      </c>
      <c r="I44" s="32">
        <v>119.5</v>
      </c>
      <c r="J44" s="32">
        <v>1049</v>
      </c>
      <c r="K44" s="32">
        <v>32.36</v>
      </c>
      <c r="L44" s="32">
        <v>1.26</v>
      </c>
      <c r="M44" s="32">
        <v>518</v>
      </c>
      <c r="N44" s="40">
        <v>0.27</v>
      </c>
      <c r="O44" s="1">
        <v>2.9999999999999997E-4</v>
      </c>
      <c r="P44" s="1">
        <v>0.15</v>
      </c>
      <c r="Q44" s="33">
        <v>1.3</v>
      </c>
      <c r="R44" s="1">
        <v>110</v>
      </c>
      <c r="S44" s="26">
        <f t="shared" si="0"/>
        <v>1.8027821845786733</v>
      </c>
      <c r="T44" s="32">
        <v>21.63</v>
      </c>
      <c r="U44" s="27">
        <f t="shared" si="1"/>
        <v>1.0793951794001695</v>
      </c>
      <c r="V44" s="1">
        <v>23.6</v>
      </c>
      <c r="W44" s="28">
        <f t="shared" si="2"/>
        <v>0.66572637517630462</v>
      </c>
      <c r="X44" s="33">
        <v>110.4</v>
      </c>
      <c r="Y44" s="29">
        <f t="shared" si="3"/>
        <v>2.2985633978763276</v>
      </c>
      <c r="Z44" s="1">
        <v>2.04</v>
      </c>
      <c r="AA44" s="26">
        <f t="shared" si="4"/>
        <v>8.8734232274902139E-2</v>
      </c>
      <c r="AB44" s="32">
        <v>19.28</v>
      </c>
      <c r="AC44" s="30">
        <f t="shared" si="5"/>
        <v>0.49423224814150224</v>
      </c>
      <c r="AD44" s="1">
        <v>230.41</v>
      </c>
      <c r="AE44" s="28">
        <f t="shared" si="6"/>
        <v>5.9064342476288134</v>
      </c>
      <c r="AF44" s="33">
        <v>2.8E-3</v>
      </c>
      <c r="AG44" s="1">
        <v>80</v>
      </c>
      <c r="AH44" s="32">
        <v>21.8</v>
      </c>
      <c r="AI44" s="32">
        <v>7.25</v>
      </c>
      <c r="AJ44">
        <v>20.080000000000002</v>
      </c>
    </row>
    <row r="45" spans="1:36" ht="15" x14ac:dyDescent="0.3">
      <c r="A45" s="44" t="s">
        <v>149</v>
      </c>
      <c r="B45" s="41" t="s">
        <v>141</v>
      </c>
      <c r="C45" s="46" t="s">
        <v>150</v>
      </c>
      <c r="D45" s="46" t="s">
        <v>76</v>
      </c>
      <c r="E45" s="32">
        <v>200</v>
      </c>
      <c r="F45" s="39">
        <v>17.028718999999999</v>
      </c>
      <c r="G45" s="39">
        <v>74.351442000000006</v>
      </c>
      <c r="H45" s="32">
        <v>7.12</v>
      </c>
      <c r="I45" s="32">
        <v>130.6</v>
      </c>
      <c r="J45" s="32">
        <v>1013</v>
      </c>
      <c r="K45" s="32">
        <v>32.35</v>
      </c>
      <c r="L45" s="32">
        <v>1.39</v>
      </c>
      <c r="M45" s="32">
        <v>507</v>
      </c>
      <c r="N45" s="40">
        <v>0.31</v>
      </c>
      <c r="O45" s="1">
        <v>2.9999999999999997E-4</v>
      </c>
      <c r="P45" s="1">
        <v>0.84</v>
      </c>
      <c r="Q45" s="33">
        <v>0.51</v>
      </c>
      <c r="R45" s="1">
        <v>147</v>
      </c>
      <c r="S45" s="26">
        <f t="shared" si="0"/>
        <v>2.409172555755136</v>
      </c>
      <c r="T45" s="32">
        <v>62.57</v>
      </c>
      <c r="U45" s="27">
        <f t="shared" si="1"/>
        <v>3.1224112979689602</v>
      </c>
      <c r="V45" s="1">
        <v>21.3</v>
      </c>
      <c r="W45" s="28">
        <f t="shared" si="2"/>
        <v>0.60084626234132577</v>
      </c>
      <c r="X45" s="33">
        <v>158.19999999999999</v>
      </c>
      <c r="Y45" s="29">
        <f t="shared" si="3"/>
        <v>3.2937747241307513</v>
      </c>
      <c r="Z45" s="1">
        <v>1.01</v>
      </c>
      <c r="AA45" s="26">
        <f t="shared" si="4"/>
        <v>4.3932144410613314E-2</v>
      </c>
      <c r="AB45" s="32">
        <v>13.43</v>
      </c>
      <c r="AC45" s="30">
        <f t="shared" si="5"/>
        <v>0.34427069982055886</v>
      </c>
      <c r="AD45" s="1">
        <v>266.37</v>
      </c>
      <c r="AE45" s="28">
        <f t="shared" si="6"/>
        <v>6.8282491668802878</v>
      </c>
      <c r="AF45" s="33">
        <v>3.0999999999999999E-3</v>
      </c>
      <c r="AG45" s="1">
        <v>240</v>
      </c>
      <c r="AH45" s="32">
        <v>22.5</v>
      </c>
      <c r="AI45" s="32">
        <v>7.26</v>
      </c>
      <c r="AJ45">
        <v>17.78</v>
      </c>
    </row>
    <row r="46" spans="1:36" ht="15" x14ac:dyDescent="0.3">
      <c r="A46" s="44" t="s">
        <v>151</v>
      </c>
      <c r="B46" s="41" t="s">
        <v>141</v>
      </c>
      <c r="C46" s="46" t="s">
        <v>152</v>
      </c>
      <c r="D46" s="46" t="s">
        <v>73</v>
      </c>
      <c r="E46" s="32">
        <v>200</v>
      </c>
      <c r="F46" s="39">
        <v>17.028797000000001</v>
      </c>
      <c r="G46" s="39">
        <v>74.352220000000003</v>
      </c>
      <c r="H46" s="32">
        <v>6.21</v>
      </c>
      <c r="I46" s="32">
        <v>154.30000000000001</v>
      </c>
      <c r="J46" s="32">
        <v>1409</v>
      </c>
      <c r="K46" s="32">
        <v>32.549999999999997</v>
      </c>
      <c r="L46" s="32">
        <v>1.5</v>
      </c>
      <c r="M46" s="32">
        <v>704</v>
      </c>
      <c r="N46" s="2">
        <v>0.56999999999999995</v>
      </c>
      <c r="O46" s="1">
        <v>2.0000000000000001E-4</v>
      </c>
      <c r="P46" s="1">
        <v>0.61</v>
      </c>
      <c r="Q46" s="25">
        <v>1.2</v>
      </c>
      <c r="R46" s="1">
        <v>132</v>
      </c>
      <c r="S46" s="26">
        <f t="shared" si="0"/>
        <v>2.1633386214944079</v>
      </c>
      <c r="T46" s="32">
        <v>85.65</v>
      </c>
      <c r="U46" s="27">
        <f t="shared" si="1"/>
        <v>4.2741653775138477</v>
      </c>
      <c r="V46" s="1">
        <v>18.399999999999999</v>
      </c>
      <c r="W46" s="28">
        <f t="shared" si="2"/>
        <v>0.51904090267983072</v>
      </c>
      <c r="X46" s="25">
        <v>100.3</v>
      </c>
      <c r="Y46" s="29">
        <f t="shared" si="3"/>
        <v>2.0882781594836559</v>
      </c>
      <c r="Z46" s="1">
        <v>6.22</v>
      </c>
      <c r="AA46" s="26">
        <f t="shared" si="4"/>
        <v>0.27055241409308395</v>
      </c>
      <c r="AB46" s="32">
        <v>13.37</v>
      </c>
      <c r="AC46" s="30">
        <f t="shared" si="5"/>
        <v>0.34273263265829274</v>
      </c>
      <c r="AD46" s="1">
        <v>200.83</v>
      </c>
      <c r="AE46" s="28">
        <f t="shared" si="6"/>
        <v>5.1481671366316331</v>
      </c>
      <c r="AF46" s="25">
        <v>1E-3</v>
      </c>
      <c r="AG46" s="1">
        <v>364</v>
      </c>
      <c r="AH46" s="32">
        <v>45.199999999999996</v>
      </c>
      <c r="AI46" s="32">
        <v>7.19</v>
      </c>
      <c r="AJ46">
        <v>14.879999999999999</v>
      </c>
    </row>
    <row r="47" spans="1:36" ht="15" x14ac:dyDescent="0.3">
      <c r="A47" s="44" t="s">
        <v>153</v>
      </c>
      <c r="B47" s="41" t="s">
        <v>141</v>
      </c>
      <c r="C47" s="46" t="s">
        <v>154</v>
      </c>
      <c r="D47" s="46" t="s">
        <v>139</v>
      </c>
      <c r="E47" s="39">
        <v>350</v>
      </c>
      <c r="F47" s="39">
        <v>17.028013000000001</v>
      </c>
      <c r="G47" s="39">
        <v>74.355597000000003</v>
      </c>
      <c r="H47" s="32">
        <v>9.31</v>
      </c>
      <c r="I47" s="32">
        <v>7.9</v>
      </c>
      <c r="J47" s="32">
        <v>122</v>
      </c>
      <c r="K47" s="32">
        <v>32.26</v>
      </c>
      <c r="L47" s="32">
        <v>1.65</v>
      </c>
      <c r="M47" s="32">
        <v>63</v>
      </c>
      <c r="N47" s="2">
        <v>0.2</v>
      </c>
      <c r="O47" s="1">
        <v>1E-4</v>
      </c>
      <c r="P47" s="1">
        <v>0.37</v>
      </c>
      <c r="Q47" s="25">
        <v>1.64</v>
      </c>
      <c r="R47" s="1">
        <v>194</v>
      </c>
      <c r="S47" s="26">
        <f t="shared" si="0"/>
        <v>3.1794522164387513</v>
      </c>
      <c r="T47" s="32">
        <v>24.54</v>
      </c>
      <c r="U47" s="27">
        <f t="shared" si="1"/>
        <v>1.2246120065871549</v>
      </c>
      <c r="V47" s="1">
        <v>16.399999999999999</v>
      </c>
      <c r="W47" s="28">
        <f t="shared" si="2"/>
        <v>0.46262341325810996</v>
      </c>
      <c r="X47" s="25">
        <v>70.900000000000006</v>
      </c>
      <c r="Y47" s="29">
        <f t="shared" si="3"/>
        <v>1.4761607328752864</v>
      </c>
      <c r="Z47" s="1">
        <v>4.08</v>
      </c>
      <c r="AA47" s="26">
        <f t="shared" si="4"/>
        <v>0.17746846454980428</v>
      </c>
      <c r="AB47" s="32">
        <v>13.37</v>
      </c>
      <c r="AC47" s="30">
        <f t="shared" si="5"/>
        <v>0.34273263265829274</v>
      </c>
      <c r="AD47" s="17">
        <v>224.62</v>
      </c>
      <c r="AE47" s="28">
        <f t="shared" si="6"/>
        <v>5.7580107664701359</v>
      </c>
      <c r="AF47" s="25">
        <v>2.0000000000000001E-4</v>
      </c>
      <c r="AG47" s="1">
        <v>404</v>
      </c>
      <c r="AH47" s="32">
        <v>31.3</v>
      </c>
      <c r="AI47" s="32">
        <v>7.61</v>
      </c>
      <c r="AJ47">
        <v>12.879999999999999</v>
      </c>
    </row>
    <row r="48" spans="1:36" ht="15" x14ac:dyDescent="0.3">
      <c r="A48" s="44" t="s">
        <v>155</v>
      </c>
      <c r="B48" s="41" t="s">
        <v>141</v>
      </c>
      <c r="C48" s="46" t="s">
        <v>156</v>
      </c>
      <c r="D48" s="46" t="s">
        <v>157</v>
      </c>
      <c r="E48" s="32">
        <v>70</v>
      </c>
      <c r="F48" s="39">
        <v>17.027757000000001</v>
      </c>
      <c r="G48" s="39">
        <v>74.359825000000001</v>
      </c>
      <c r="H48" s="32">
        <v>7.23</v>
      </c>
      <c r="I48" s="32">
        <v>160.5</v>
      </c>
      <c r="J48" s="32">
        <v>1260</v>
      </c>
      <c r="K48" s="32">
        <v>32.4</v>
      </c>
      <c r="L48" s="32">
        <v>1.46</v>
      </c>
      <c r="M48" s="32">
        <v>630</v>
      </c>
      <c r="N48" s="2">
        <v>0.17</v>
      </c>
      <c r="O48" s="1">
        <v>4.0000000000000002E-4</v>
      </c>
      <c r="P48" s="1">
        <v>0.16</v>
      </c>
      <c r="Q48" s="33">
        <v>2.11</v>
      </c>
      <c r="R48" s="1">
        <v>166</v>
      </c>
      <c r="S48" s="26">
        <f t="shared" si="0"/>
        <v>2.7205622058187253</v>
      </c>
      <c r="T48" s="32">
        <v>67.22</v>
      </c>
      <c r="U48" s="27">
        <f t="shared" si="1"/>
        <v>3.3544588053296072</v>
      </c>
      <c r="V48" s="1">
        <v>17.2</v>
      </c>
      <c r="W48" s="28">
        <f t="shared" si="2"/>
        <v>0.48519040902679827</v>
      </c>
      <c r="X48" s="33">
        <v>11.93</v>
      </c>
      <c r="Y48" s="29">
        <f t="shared" si="3"/>
        <v>0.2483864251509473</v>
      </c>
      <c r="Z48" s="1">
        <v>4.6500000000000004</v>
      </c>
      <c r="AA48" s="26">
        <f t="shared" si="4"/>
        <v>0.20226185297955634</v>
      </c>
      <c r="AB48" s="32">
        <v>10.06</v>
      </c>
      <c r="AC48" s="30">
        <f t="shared" si="5"/>
        <v>0.25788259420661369</v>
      </c>
      <c r="AD48" s="1">
        <v>107.73</v>
      </c>
      <c r="AE48" s="28">
        <f t="shared" si="6"/>
        <v>2.7615995898487569</v>
      </c>
      <c r="AF48" s="33">
        <v>1E-3</v>
      </c>
      <c r="AG48" s="1">
        <v>360</v>
      </c>
      <c r="AH48" s="32">
        <v>46.099999999999994</v>
      </c>
      <c r="AI48" s="32">
        <v>7.7</v>
      </c>
      <c r="AJ48">
        <v>13.68</v>
      </c>
    </row>
    <row r="49" spans="1:36" ht="15" x14ac:dyDescent="0.3">
      <c r="A49" s="44" t="s">
        <v>158</v>
      </c>
      <c r="B49" s="41" t="s">
        <v>141</v>
      </c>
      <c r="C49" s="46" t="s">
        <v>159</v>
      </c>
      <c r="D49" s="46" t="s">
        <v>160</v>
      </c>
      <c r="E49" s="32">
        <v>140</v>
      </c>
      <c r="F49" s="39">
        <v>17.025231000000002</v>
      </c>
      <c r="G49" s="39">
        <v>74.373783000000003</v>
      </c>
      <c r="H49" s="32">
        <v>7.35</v>
      </c>
      <c r="I49" s="32">
        <v>153.19999999999999</v>
      </c>
      <c r="J49" s="32">
        <v>976</v>
      </c>
      <c r="K49" s="32">
        <v>32.47</v>
      </c>
      <c r="L49" s="32">
        <v>1.48</v>
      </c>
      <c r="M49" s="32">
        <v>488</v>
      </c>
      <c r="N49" s="2">
        <v>0.34</v>
      </c>
      <c r="O49" s="1">
        <v>2.0000000000000001E-4</v>
      </c>
      <c r="P49" s="1">
        <v>0.21</v>
      </c>
      <c r="Q49" s="33">
        <v>0.11</v>
      </c>
      <c r="R49" s="1">
        <v>152</v>
      </c>
      <c r="S49" s="26">
        <f t="shared" si="0"/>
        <v>2.4911172005087123</v>
      </c>
      <c r="T49" s="32">
        <v>97.79</v>
      </c>
      <c r="U49" s="27">
        <f t="shared" si="1"/>
        <v>4.8799840311392781</v>
      </c>
      <c r="V49" s="1">
        <v>13.4</v>
      </c>
      <c r="W49" s="28">
        <f t="shared" si="2"/>
        <v>0.37799717912552888</v>
      </c>
      <c r="X49" s="33">
        <v>51.6</v>
      </c>
      <c r="Y49" s="29">
        <f t="shared" si="3"/>
        <v>1.0743285446595878</v>
      </c>
      <c r="Z49" s="1">
        <v>2.2599999999999998</v>
      </c>
      <c r="AA49" s="26">
        <f t="shared" si="4"/>
        <v>9.8303610265332755E-2</v>
      </c>
      <c r="AB49" s="32">
        <v>17.03</v>
      </c>
      <c r="AC49" s="30">
        <f t="shared" si="5"/>
        <v>0.43655472955652402</v>
      </c>
      <c r="AD49" s="1">
        <v>115.7</v>
      </c>
      <c r="AE49" s="28">
        <f t="shared" si="6"/>
        <v>2.965906177903102</v>
      </c>
      <c r="AF49" s="33">
        <v>2.3E-2</v>
      </c>
      <c r="AG49" s="1">
        <v>164</v>
      </c>
      <c r="AH49" s="32">
        <v>43</v>
      </c>
      <c r="AI49" s="32">
        <v>7.66</v>
      </c>
      <c r="AJ49">
        <v>9.8800000000000008</v>
      </c>
    </row>
    <row r="50" spans="1:36" ht="15" x14ac:dyDescent="0.3">
      <c r="A50" s="44" t="s">
        <v>161</v>
      </c>
      <c r="B50" s="41" t="s">
        <v>141</v>
      </c>
      <c r="C50" s="46" t="s">
        <v>162</v>
      </c>
      <c r="D50" s="46" t="s">
        <v>163</v>
      </c>
      <c r="E50" s="32">
        <v>125</v>
      </c>
      <c r="F50" s="39">
        <v>17.024916999999999</v>
      </c>
      <c r="G50" s="39">
        <v>74.373885000000001</v>
      </c>
      <c r="H50" s="32">
        <v>9.1999999999999993</v>
      </c>
      <c r="I50" s="32">
        <v>-136.6</v>
      </c>
      <c r="J50" s="32">
        <v>525</v>
      </c>
      <c r="K50" s="32">
        <v>32.5</v>
      </c>
      <c r="L50" s="32">
        <v>1.58</v>
      </c>
      <c r="M50" s="32">
        <v>262</v>
      </c>
      <c r="N50" s="2">
        <v>0.77</v>
      </c>
      <c r="O50" s="1">
        <v>2.9999999999999997E-4</v>
      </c>
      <c r="P50" s="1">
        <v>0.17</v>
      </c>
      <c r="Q50" s="33">
        <v>0.51</v>
      </c>
      <c r="R50" s="1">
        <v>173</v>
      </c>
      <c r="S50" s="26">
        <f t="shared" si="0"/>
        <v>2.8352847084737318</v>
      </c>
      <c r="T50" s="32">
        <v>55.65</v>
      </c>
      <c r="U50" s="27">
        <f t="shared" si="1"/>
        <v>2.7770846848645139</v>
      </c>
      <c r="V50" s="1">
        <v>17.399999999999999</v>
      </c>
      <c r="W50" s="28">
        <f t="shared" si="2"/>
        <v>0.49083215796897028</v>
      </c>
      <c r="X50" s="33">
        <v>72.400000000000006</v>
      </c>
      <c r="Y50" s="29">
        <f t="shared" si="3"/>
        <v>1.507391213824693</v>
      </c>
      <c r="Z50" s="1">
        <v>1.4300000000000002</v>
      </c>
      <c r="AA50" s="26">
        <f t="shared" si="4"/>
        <v>6.2200956937799055E-2</v>
      </c>
      <c r="AB50" s="32">
        <v>10.88</v>
      </c>
      <c r="AC50" s="30">
        <f t="shared" si="5"/>
        <v>0.2789028454242502</v>
      </c>
      <c r="AD50" s="1">
        <v>222.08</v>
      </c>
      <c r="AE50" s="28">
        <f t="shared" si="6"/>
        <v>5.6928992566008718</v>
      </c>
      <c r="AF50" s="33">
        <v>1.4999999999999999E-2</v>
      </c>
      <c r="AG50" s="1">
        <v>284</v>
      </c>
      <c r="AH50" s="32">
        <v>47.9</v>
      </c>
      <c r="AI50" s="32">
        <v>7.34</v>
      </c>
      <c r="AJ50">
        <v>13.879999999999999</v>
      </c>
    </row>
    <row r="51" spans="1:36" ht="15" x14ac:dyDescent="0.3">
      <c r="A51" s="44" t="s">
        <v>164</v>
      </c>
      <c r="B51" s="41" t="s">
        <v>141</v>
      </c>
      <c r="C51" s="46" t="s">
        <v>165</v>
      </c>
      <c r="D51" s="46" t="s">
        <v>166</v>
      </c>
      <c r="E51" s="32">
        <v>150</v>
      </c>
      <c r="F51" s="39">
        <v>17.024319999999999</v>
      </c>
      <c r="G51" s="39">
        <v>74.373724999999993</v>
      </c>
      <c r="H51" s="32">
        <v>7.7</v>
      </c>
      <c r="I51" s="32">
        <v>92.5</v>
      </c>
      <c r="J51" s="32">
        <v>775</v>
      </c>
      <c r="K51" s="32">
        <v>33</v>
      </c>
      <c r="L51" s="32">
        <v>1.64</v>
      </c>
      <c r="M51" s="32">
        <v>378</v>
      </c>
      <c r="N51" s="2">
        <v>0.12</v>
      </c>
      <c r="O51" s="1">
        <v>2.9999999999999997E-4</v>
      </c>
      <c r="P51" s="1">
        <v>0.36</v>
      </c>
      <c r="Q51" s="33">
        <v>1.4</v>
      </c>
      <c r="R51" s="1">
        <v>126</v>
      </c>
      <c r="S51" s="26">
        <f t="shared" si="0"/>
        <v>2.0650050477901165</v>
      </c>
      <c r="T51" s="32">
        <v>39.61</v>
      </c>
      <c r="U51" s="27">
        <f t="shared" si="1"/>
        <v>1.9766455411946702</v>
      </c>
      <c r="V51" s="1">
        <v>12.2</v>
      </c>
      <c r="W51" s="28">
        <f t="shared" si="2"/>
        <v>0.34414668547249644</v>
      </c>
      <c r="X51" s="33">
        <v>73.8</v>
      </c>
      <c r="Y51" s="29">
        <f t="shared" si="3"/>
        <v>1.5365396627108057</v>
      </c>
      <c r="Z51" s="1">
        <v>7.8500000000000005</v>
      </c>
      <c r="AA51" s="26">
        <f t="shared" si="4"/>
        <v>0.34145280556763813</v>
      </c>
      <c r="AB51" s="32">
        <v>20.079999999999998</v>
      </c>
      <c r="AC51" s="30">
        <f t="shared" si="5"/>
        <v>0.51473981030505001</v>
      </c>
      <c r="AD51" s="1">
        <v>170.34</v>
      </c>
      <c r="AE51" s="28">
        <f t="shared" si="6"/>
        <v>4.3665726736734172</v>
      </c>
      <c r="AF51" s="33">
        <v>0.02</v>
      </c>
      <c r="AG51" s="1">
        <v>232</v>
      </c>
      <c r="AH51" s="32">
        <v>29</v>
      </c>
      <c r="AI51" s="31">
        <v>7.35</v>
      </c>
      <c r="AJ51">
        <v>8.68</v>
      </c>
    </row>
    <row r="52" spans="1:36" ht="15" x14ac:dyDescent="0.3">
      <c r="A52" s="44" t="s">
        <v>167</v>
      </c>
      <c r="B52" s="41" t="s">
        <v>141</v>
      </c>
      <c r="C52" s="46" t="s">
        <v>168</v>
      </c>
      <c r="D52" s="46" t="s">
        <v>139</v>
      </c>
      <c r="E52" s="32">
        <v>200</v>
      </c>
      <c r="F52" s="39">
        <v>17.024664999999999</v>
      </c>
      <c r="G52" s="39">
        <v>74.373831999999993</v>
      </c>
      <c r="H52" s="32">
        <v>7.5</v>
      </c>
      <c r="I52" s="32">
        <v>100.8</v>
      </c>
      <c r="J52" s="32">
        <v>875</v>
      </c>
      <c r="K52" s="32">
        <v>32.450000000000003</v>
      </c>
      <c r="L52" s="32">
        <v>1.48</v>
      </c>
      <c r="M52" s="32">
        <v>350</v>
      </c>
      <c r="N52" s="2">
        <v>0.16</v>
      </c>
      <c r="O52" s="1">
        <v>2.0000000000000001E-4</v>
      </c>
      <c r="P52" s="1">
        <v>0.23</v>
      </c>
      <c r="Q52" s="33">
        <v>1.03</v>
      </c>
      <c r="R52" s="1">
        <v>111</v>
      </c>
      <c r="S52" s="26">
        <f t="shared" si="0"/>
        <v>1.8191711135293884</v>
      </c>
      <c r="T52" s="32">
        <v>19.5</v>
      </c>
      <c r="U52" s="27">
        <f t="shared" si="1"/>
        <v>0.97310245022206687</v>
      </c>
      <c r="V52" s="1">
        <v>8.1999999999999993</v>
      </c>
      <c r="W52" s="28">
        <f t="shared" si="2"/>
        <v>0.23131170662905498</v>
      </c>
      <c r="X52" s="33">
        <v>69.5</v>
      </c>
      <c r="Y52" s="29">
        <f t="shared" si="3"/>
        <v>1.4470122839891735</v>
      </c>
      <c r="Z52" s="1">
        <v>6.66</v>
      </c>
      <c r="AA52" s="26">
        <f t="shared" si="4"/>
        <v>0.28969117007394524</v>
      </c>
      <c r="AB52" s="32">
        <v>14.24</v>
      </c>
      <c r="AC52" s="30">
        <f t="shared" si="5"/>
        <v>0.36503460651115099</v>
      </c>
      <c r="AD52" s="1">
        <v>166.51</v>
      </c>
      <c r="AE52" s="28">
        <f t="shared" si="6"/>
        <v>4.2683927198154317</v>
      </c>
      <c r="AF52" s="33">
        <v>3.0000000000000001E-3</v>
      </c>
      <c r="AG52" s="1">
        <v>212</v>
      </c>
      <c r="AH52" s="32">
        <v>15.399999999999999</v>
      </c>
      <c r="AI52" s="32">
        <v>7.05</v>
      </c>
      <c r="AJ52">
        <v>4.68</v>
      </c>
    </row>
    <row r="53" spans="1:36" ht="15" x14ac:dyDescent="0.3">
      <c r="A53" s="44" t="s">
        <v>169</v>
      </c>
      <c r="B53" s="41" t="s">
        <v>141</v>
      </c>
      <c r="C53" s="46" t="s">
        <v>170</v>
      </c>
      <c r="D53" s="46" t="s">
        <v>171</v>
      </c>
      <c r="E53" s="32">
        <v>200</v>
      </c>
      <c r="F53" s="39">
        <v>17.024804</v>
      </c>
      <c r="G53" s="39">
        <v>74.373880999999997</v>
      </c>
      <c r="H53" s="32">
        <v>7.3</v>
      </c>
      <c r="I53" s="32">
        <v>95.3</v>
      </c>
      <c r="J53" s="32">
        <v>843</v>
      </c>
      <c r="K53" s="32">
        <v>32.36</v>
      </c>
      <c r="L53" s="32">
        <v>1.62</v>
      </c>
      <c r="M53" s="32">
        <v>448</v>
      </c>
      <c r="N53" s="2">
        <v>0.1</v>
      </c>
      <c r="O53" s="1">
        <v>5.0000000000000001E-4</v>
      </c>
      <c r="P53" s="1">
        <v>0.15</v>
      </c>
      <c r="Q53" s="33">
        <v>1.8</v>
      </c>
      <c r="R53" s="1">
        <v>146</v>
      </c>
      <c r="S53" s="26">
        <f t="shared" si="0"/>
        <v>2.3927836268044209</v>
      </c>
      <c r="T53" s="32">
        <v>88.82</v>
      </c>
      <c r="U53" s="27">
        <f t="shared" si="1"/>
        <v>4.4323569040371273</v>
      </c>
      <c r="V53" s="1">
        <v>12.3</v>
      </c>
      <c r="W53" s="28">
        <f t="shared" si="2"/>
        <v>0.34696755994358253</v>
      </c>
      <c r="X53" s="33">
        <v>57.8</v>
      </c>
      <c r="Y53" s="29">
        <f t="shared" si="3"/>
        <v>1.2034145325838017</v>
      </c>
      <c r="Z53" s="1">
        <v>2.89</v>
      </c>
      <c r="AA53" s="26">
        <f t="shared" si="4"/>
        <v>0.12570682905611136</v>
      </c>
      <c r="AB53" s="32">
        <v>10.18</v>
      </c>
      <c r="AC53" s="30">
        <f t="shared" si="5"/>
        <v>0.26095872853114588</v>
      </c>
      <c r="AD53" s="1">
        <v>110.88</v>
      </c>
      <c r="AE53" s="28">
        <f t="shared" si="6"/>
        <v>2.8423481158677264</v>
      </c>
      <c r="AF53" s="33">
        <v>7.0000000000000001E-3</v>
      </c>
      <c r="AG53" s="1">
        <v>500</v>
      </c>
      <c r="AH53" s="32">
        <v>25.1</v>
      </c>
      <c r="AI53" s="1">
        <v>4.8</v>
      </c>
      <c r="AJ53">
        <v>8.7800000000000011</v>
      </c>
    </row>
    <row r="54" spans="1:36" ht="15" x14ac:dyDescent="0.3">
      <c r="A54" s="44" t="s">
        <v>172</v>
      </c>
      <c r="B54" s="41" t="s">
        <v>141</v>
      </c>
      <c r="C54" s="46" t="s">
        <v>173</v>
      </c>
      <c r="D54" s="41" t="s">
        <v>113</v>
      </c>
      <c r="E54" s="32">
        <v>200</v>
      </c>
      <c r="F54" s="39">
        <v>17.025233</v>
      </c>
      <c r="G54" s="39">
        <v>74.373883000000006</v>
      </c>
      <c r="H54" s="32">
        <v>7.05</v>
      </c>
      <c r="I54" s="32">
        <v>121.8</v>
      </c>
      <c r="J54" s="32">
        <v>789</v>
      </c>
      <c r="K54" s="32">
        <v>33.08</v>
      </c>
      <c r="L54" s="32">
        <v>1.44</v>
      </c>
      <c r="M54" s="32">
        <v>389</v>
      </c>
      <c r="N54" s="2">
        <v>0.08</v>
      </c>
      <c r="O54" s="1">
        <v>6.9999999999999999E-4</v>
      </c>
      <c r="P54" s="1">
        <v>0.21</v>
      </c>
      <c r="Q54" s="33">
        <v>2.6</v>
      </c>
      <c r="R54" s="1">
        <v>133</v>
      </c>
      <c r="S54" s="26">
        <f t="shared" si="0"/>
        <v>2.179727550445123</v>
      </c>
      <c r="T54" s="32">
        <v>26.69</v>
      </c>
      <c r="U54" s="27">
        <f t="shared" si="1"/>
        <v>1.3319027895603572</v>
      </c>
      <c r="V54" s="1">
        <v>14.3</v>
      </c>
      <c r="W54" s="28">
        <f t="shared" si="2"/>
        <v>0.40338504936530323</v>
      </c>
      <c r="X54" s="33">
        <v>85.4</v>
      </c>
      <c r="Y54" s="29">
        <f t="shared" si="3"/>
        <v>1.7780553820528837</v>
      </c>
      <c r="Z54" s="1">
        <v>9.02</v>
      </c>
      <c r="AA54" s="26">
        <f t="shared" si="4"/>
        <v>0.3923444976076555</v>
      </c>
      <c r="AB54" s="32">
        <v>17.170000000000002</v>
      </c>
      <c r="AC54" s="30">
        <f t="shared" si="5"/>
        <v>0.4401435529351449</v>
      </c>
      <c r="AD54" s="1">
        <v>173.29</v>
      </c>
      <c r="AE54" s="28">
        <f t="shared" si="6"/>
        <v>4.4421943091514997</v>
      </c>
      <c r="AF54" s="33">
        <v>6.0000000000000001E-3</v>
      </c>
      <c r="AG54" s="1">
        <v>336</v>
      </c>
      <c r="AH54" s="32">
        <v>31.6</v>
      </c>
      <c r="AI54" s="1">
        <v>5.6</v>
      </c>
      <c r="AJ54">
        <v>10.780000000000001</v>
      </c>
    </row>
  </sheetData>
  <mergeCells count="17">
    <mergeCell ref="AB2:AC2"/>
    <mergeCell ref="A1:G1"/>
    <mergeCell ref="AD2:AE2"/>
    <mergeCell ref="H2:H3"/>
    <mergeCell ref="I2:I3"/>
    <mergeCell ref="R2:S2"/>
    <mergeCell ref="A2:A3"/>
    <mergeCell ref="B2:B3"/>
    <mergeCell ref="C2:C3"/>
    <mergeCell ref="D2:D3"/>
    <mergeCell ref="E2:E3"/>
    <mergeCell ref="F2:F3"/>
    <mergeCell ref="G2:G3"/>
    <mergeCell ref="T2:U2"/>
    <mergeCell ref="V2:W2"/>
    <mergeCell ref="X2:Y2"/>
    <mergeCell ref="Z2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9B6E-8C24-4AE1-A0FD-7C32FF80643F}">
  <dimension ref="A1:AJ53"/>
  <sheetViews>
    <sheetView workbookViewId="0">
      <selection activeCell="F6" sqref="F6"/>
    </sheetView>
  </sheetViews>
  <sheetFormatPr defaultRowHeight="14.4" x14ac:dyDescent="0.3"/>
  <cols>
    <col min="2" max="2" width="10.44140625" customWidth="1"/>
    <col min="4" max="4" width="10.5546875" customWidth="1"/>
    <col min="6" max="6" width="11.33203125" customWidth="1"/>
    <col min="7" max="7" width="10.88671875" customWidth="1"/>
  </cols>
  <sheetData>
    <row r="1" spans="1:36" ht="21" x14ac:dyDescent="0.4">
      <c r="A1" s="95" t="s">
        <v>1119</v>
      </c>
      <c r="B1" s="95"/>
      <c r="C1" s="95"/>
      <c r="D1" s="95"/>
      <c r="E1" s="95"/>
      <c r="F1" s="95"/>
      <c r="G1" s="95"/>
      <c r="H1" s="1"/>
      <c r="I1" s="1"/>
      <c r="J1" s="1"/>
      <c r="K1" s="1"/>
      <c r="L1" s="1"/>
      <c r="M1" s="1"/>
      <c r="N1" s="1"/>
      <c r="X1" s="1"/>
      <c r="Y1" s="1"/>
    </row>
    <row r="2" spans="1:36" ht="57.6" x14ac:dyDescent="0.3">
      <c r="A2" s="109" t="s">
        <v>30</v>
      </c>
      <c r="B2" s="109" t="s">
        <v>31</v>
      </c>
      <c r="C2" s="109" t="s">
        <v>32</v>
      </c>
      <c r="D2" s="109" t="s">
        <v>33</v>
      </c>
      <c r="E2" s="109" t="s">
        <v>34</v>
      </c>
      <c r="F2" s="109" t="s">
        <v>35</v>
      </c>
      <c r="G2" s="109" t="s">
        <v>7</v>
      </c>
      <c r="H2" s="108" t="s">
        <v>8</v>
      </c>
      <c r="I2" s="108" t="s">
        <v>9</v>
      </c>
      <c r="J2" s="64" t="s">
        <v>10</v>
      </c>
      <c r="K2" s="64" t="s">
        <v>11</v>
      </c>
      <c r="L2" s="64" t="s">
        <v>12</v>
      </c>
      <c r="M2" s="64" t="s">
        <v>13</v>
      </c>
      <c r="N2" s="65" t="s">
        <v>14</v>
      </c>
      <c r="O2" s="64" t="s">
        <v>15</v>
      </c>
      <c r="P2" s="64" t="s">
        <v>16</v>
      </c>
      <c r="Q2" s="64" t="s">
        <v>17</v>
      </c>
      <c r="R2" s="107" t="s">
        <v>174</v>
      </c>
      <c r="S2" s="107"/>
      <c r="T2" s="107" t="s">
        <v>1</v>
      </c>
      <c r="U2" s="107"/>
      <c r="V2" s="107" t="s">
        <v>2</v>
      </c>
      <c r="W2" s="107"/>
      <c r="X2" s="107" t="s">
        <v>405</v>
      </c>
      <c r="Y2" s="107"/>
      <c r="Z2" s="107" t="s">
        <v>4</v>
      </c>
      <c r="AA2" s="107"/>
      <c r="AB2" s="107" t="s">
        <v>5</v>
      </c>
      <c r="AC2" s="107"/>
      <c r="AD2" s="107" t="s">
        <v>6</v>
      </c>
      <c r="AE2" s="107"/>
      <c r="AF2" s="64" t="s">
        <v>20</v>
      </c>
      <c r="AG2" s="64" t="s">
        <v>21</v>
      </c>
      <c r="AH2" s="64" t="s">
        <v>22</v>
      </c>
      <c r="AI2" s="64" t="s">
        <v>23</v>
      </c>
      <c r="AJ2" s="64" t="s">
        <v>24</v>
      </c>
    </row>
    <row r="3" spans="1:36" x14ac:dyDescent="0.3">
      <c r="A3" s="109"/>
      <c r="B3" s="109"/>
      <c r="C3" s="109"/>
      <c r="D3" s="109"/>
      <c r="E3" s="109"/>
      <c r="F3" s="109"/>
      <c r="G3" s="109"/>
      <c r="H3" s="108"/>
      <c r="I3" s="108"/>
      <c r="J3" s="70" t="s">
        <v>25</v>
      </c>
      <c r="K3" s="66" t="s">
        <v>406</v>
      </c>
      <c r="L3" s="71" t="s">
        <v>27</v>
      </c>
      <c r="M3" s="71" t="s">
        <v>27</v>
      </c>
      <c r="N3" s="71" t="s">
        <v>27</v>
      </c>
      <c r="O3" s="71" t="s">
        <v>27</v>
      </c>
      <c r="P3" s="71" t="s">
        <v>27</v>
      </c>
      <c r="Q3" s="71" t="s">
        <v>27</v>
      </c>
      <c r="R3" s="71" t="s">
        <v>27</v>
      </c>
      <c r="S3" s="64" t="s">
        <v>28</v>
      </c>
      <c r="T3" s="71" t="s">
        <v>27</v>
      </c>
      <c r="U3" s="64" t="s">
        <v>28</v>
      </c>
      <c r="V3" s="64" t="s">
        <v>27</v>
      </c>
      <c r="W3" s="64" t="s">
        <v>28</v>
      </c>
      <c r="X3" s="64" t="s">
        <v>27</v>
      </c>
      <c r="Y3" s="64" t="s">
        <v>28</v>
      </c>
      <c r="Z3" s="71" t="s">
        <v>27</v>
      </c>
      <c r="AA3" s="71" t="s">
        <v>28</v>
      </c>
      <c r="AB3" s="71" t="s">
        <v>27</v>
      </c>
      <c r="AC3" s="71" t="s">
        <v>175</v>
      </c>
      <c r="AD3" s="64" t="s">
        <v>27</v>
      </c>
      <c r="AE3" s="64" t="s">
        <v>28</v>
      </c>
      <c r="AF3" s="71" t="s">
        <v>27</v>
      </c>
      <c r="AG3" s="71" t="s">
        <v>27</v>
      </c>
      <c r="AH3" s="71" t="s">
        <v>27</v>
      </c>
      <c r="AI3" s="71" t="s">
        <v>27</v>
      </c>
      <c r="AJ3" s="64" t="s">
        <v>29</v>
      </c>
    </row>
    <row r="4" spans="1:36" ht="28.2" thickBot="1" x14ac:dyDescent="0.35">
      <c r="A4" s="67" t="s">
        <v>176</v>
      </c>
      <c r="B4" s="67" t="s">
        <v>177</v>
      </c>
      <c r="C4" s="67" t="s">
        <v>178</v>
      </c>
      <c r="D4" s="67" t="s">
        <v>179</v>
      </c>
      <c r="E4" s="67" t="s">
        <v>180</v>
      </c>
      <c r="F4" s="67" t="s">
        <v>181</v>
      </c>
      <c r="G4" s="67" t="s">
        <v>182</v>
      </c>
      <c r="H4" s="67">
        <v>6.49</v>
      </c>
      <c r="I4" s="67">
        <v>132.30000000000001</v>
      </c>
      <c r="J4" s="67">
        <v>868</v>
      </c>
      <c r="K4" s="67">
        <v>26.47</v>
      </c>
      <c r="L4" s="67">
        <v>1.41</v>
      </c>
      <c r="M4" s="67">
        <v>434</v>
      </c>
      <c r="N4" s="67">
        <v>0.55000000000000004</v>
      </c>
      <c r="O4" s="67">
        <v>2.0000000000000001E-4</v>
      </c>
      <c r="P4" s="67">
        <v>0.11</v>
      </c>
      <c r="Q4" s="67">
        <v>1.3</v>
      </c>
      <c r="R4" s="67">
        <v>768</v>
      </c>
      <c r="S4" s="68">
        <f>(R4*1)/61.0168</f>
        <v>12.586697434149283</v>
      </c>
      <c r="T4" s="67">
        <v>65.59</v>
      </c>
      <c r="U4" s="68">
        <f>(T4*2)/40.078</f>
        <v>3.2731174210289935</v>
      </c>
      <c r="V4" s="67">
        <v>2.1</v>
      </c>
      <c r="W4" s="69">
        <f>(V4*1)/35.45</f>
        <v>5.9238363892806768E-2</v>
      </c>
      <c r="X4" s="67">
        <v>72.3</v>
      </c>
      <c r="Y4" s="68">
        <f>(X4*2)/96.06</f>
        <v>1.5053091817613991</v>
      </c>
      <c r="Z4" s="67">
        <v>2.25</v>
      </c>
      <c r="AA4" s="69">
        <f>(Z4*1)/22.99</f>
        <v>9.7868638538495006E-2</v>
      </c>
      <c r="AB4" s="67">
        <v>17.96</v>
      </c>
      <c r="AC4" s="56">
        <f>(AB4*1)/39.01</f>
        <v>0.46039477057164835</v>
      </c>
      <c r="AD4" s="1">
        <v>710.13</v>
      </c>
      <c r="AE4" s="57">
        <f>(AD4*1)/39.01</f>
        <v>18.203793899000257</v>
      </c>
      <c r="AF4" s="1">
        <v>3.1000000000000003E-3</v>
      </c>
      <c r="AG4" s="1">
        <v>592</v>
      </c>
      <c r="AH4" s="1">
        <v>18</v>
      </c>
      <c r="AI4" s="1">
        <v>5.0999999999999996</v>
      </c>
      <c r="AJ4" s="1">
        <v>2.0799999999999996</v>
      </c>
    </row>
    <row r="5" spans="1:36" ht="28.8" thickBot="1" x14ac:dyDescent="0.35">
      <c r="A5" s="53" t="s">
        <v>183</v>
      </c>
      <c r="B5" s="53" t="s">
        <v>177</v>
      </c>
      <c r="C5" s="58" t="s">
        <v>59</v>
      </c>
      <c r="D5" s="53" t="s">
        <v>179</v>
      </c>
      <c r="E5" s="53" t="s">
        <v>184</v>
      </c>
      <c r="F5" s="53" t="s">
        <v>185</v>
      </c>
      <c r="G5" s="53" t="s">
        <v>186</v>
      </c>
      <c r="H5" s="53">
        <v>6.5</v>
      </c>
      <c r="I5" s="53">
        <v>132.5</v>
      </c>
      <c r="J5" s="53">
        <v>739</v>
      </c>
      <c r="K5" s="53">
        <v>26</v>
      </c>
      <c r="L5" s="53">
        <v>1.41</v>
      </c>
      <c r="M5" s="53">
        <v>360</v>
      </c>
      <c r="N5" s="53">
        <v>0.51</v>
      </c>
      <c r="O5" s="53">
        <v>2.9999999999999997E-4</v>
      </c>
      <c r="P5" s="53">
        <v>0.62</v>
      </c>
      <c r="Q5" s="53">
        <v>1.74</v>
      </c>
      <c r="R5" s="53">
        <v>349</v>
      </c>
      <c r="S5" s="54">
        <f t="shared" ref="S5:S53" si="0">(R5*1)/61.0168</f>
        <v>5.7197362037996093</v>
      </c>
      <c r="T5" s="53">
        <v>14.63</v>
      </c>
      <c r="U5" s="54">
        <f t="shared" ref="U5:U53" si="1">(T5*2)/40.078</f>
        <v>0.7300763511153251</v>
      </c>
      <c r="V5" s="53">
        <v>6.1</v>
      </c>
      <c r="W5" s="55">
        <f t="shared" ref="W5:W53" si="2">(V5*1)/35.45</f>
        <v>0.17207334273624822</v>
      </c>
      <c r="X5" s="53">
        <v>57.86</v>
      </c>
      <c r="Y5" s="54">
        <f t="shared" ref="Y5:Y53" si="3">(X5*2)/96.06</f>
        <v>1.204663751821778</v>
      </c>
      <c r="Z5" s="53">
        <v>1.4500000000000002</v>
      </c>
      <c r="AA5" s="55">
        <f t="shared" ref="AA5:AA53" si="4">(Z5*1)/22.99</f>
        <v>6.307090039147456E-2</v>
      </c>
      <c r="AB5" s="53">
        <v>12.54</v>
      </c>
      <c r="AC5" s="56">
        <f t="shared" ref="AC5:AC53" si="5">(AB5*1)/39.01</f>
        <v>0.32145603691361191</v>
      </c>
      <c r="AD5" s="1">
        <v>359.38</v>
      </c>
      <c r="AE5" s="57">
        <f t="shared" ref="AE5:AE53" si="6">(AD5*1)/39.01</f>
        <v>9.2125096129197637</v>
      </c>
      <c r="AF5" s="1">
        <v>2.9999999999999992E-4</v>
      </c>
      <c r="AG5" s="1">
        <v>284</v>
      </c>
      <c r="AH5" s="1">
        <v>18</v>
      </c>
      <c r="AI5" s="1">
        <v>8.1999999999999993</v>
      </c>
      <c r="AJ5" s="1">
        <v>2.48</v>
      </c>
    </row>
    <row r="6" spans="1:36" ht="28.8" thickBot="1" x14ac:dyDescent="0.35">
      <c r="A6" s="53" t="s">
        <v>187</v>
      </c>
      <c r="B6" s="53" t="s">
        <v>177</v>
      </c>
      <c r="C6" s="58" t="s">
        <v>59</v>
      </c>
      <c r="D6" s="53" t="s">
        <v>188</v>
      </c>
      <c r="E6" s="53" t="s">
        <v>189</v>
      </c>
      <c r="F6" s="53" t="s">
        <v>190</v>
      </c>
      <c r="G6" s="53" t="s">
        <v>191</v>
      </c>
      <c r="H6" s="53">
        <v>7.26</v>
      </c>
      <c r="I6" s="53">
        <v>132.5</v>
      </c>
      <c r="J6" s="53">
        <v>1090</v>
      </c>
      <c r="K6" s="53">
        <v>26.61</v>
      </c>
      <c r="L6" s="53">
        <v>1.41</v>
      </c>
      <c r="M6" s="53">
        <v>545</v>
      </c>
      <c r="N6" s="53">
        <v>1.32</v>
      </c>
      <c r="O6" s="53">
        <v>2.0000000000000001E-4</v>
      </c>
      <c r="P6" s="53">
        <v>0.33</v>
      </c>
      <c r="Q6" s="53">
        <v>0.61</v>
      </c>
      <c r="R6" s="53">
        <v>448</v>
      </c>
      <c r="S6" s="54">
        <f t="shared" si="0"/>
        <v>7.3422401699204149</v>
      </c>
      <c r="T6" s="53">
        <v>19.170000000000002</v>
      </c>
      <c r="U6" s="54">
        <f t="shared" si="1"/>
        <v>0.95663456260292434</v>
      </c>
      <c r="V6" s="53">
        <v>9.1999999999999993</v>
      </c>
      <c r="W6" s="55">
        <f t="shared" si="2"/>
        <v>0.25952045133991536</v>
      </c>
      <c r="X6" s="53">
        <v>112.8</v>
      </c>
      <c r="Y6" s="54">
        <f t="shared" si="3"/>
        <v>2.3485321673953776</v>
      </c>
      <c r="Z6" s="53">
        <v>2.5700000000000003</v>
      </c>
      <c r="AA6" s="55">
        <f t="shared" si="4"/>
        <v>0.1117877337973032</v>
      </c>
      <c r="AB6" s="53">
        <v>19.47</v>
      </c>
      <c r="AC6" s="56">
        <f t="shared" si="5"/>
        <v>0.49910279415534475</v>
      </c>
      <c r="AD6" s="1">
        <v>499.34</v>
      </c>
      <c r="AE6" s="57">
        <f t="shared" si="6"/>
        <v>12.800307613432453</v>
      </c>
      <c r="AF6" s="1">
        <v>5.0000000000000001E-3</v>
      </c>
      <c r="AG6" s="1">
        <v>196</v>
      </c>
      <c r="AH6" s="1">
        <v>16</v>
      </c>
      <c r="AI6" s="1">
        <v>3.2</v>
      </c>
      <c r="AJ6" s="1">
        <v>3.3800000000000003</v>
      </c>
    </row>
    <row r="7" spans="1:36" ht="28.8" thickBot="1" x14ac:dyDescent="0.35">
      <c r="A7" s="53" t="s">
        <v>192</v>
      </c>
      <c r="B7" s="53" t="s">
        <v>177</v>
      </c>
      <c r="C7" s="58" t="s">
        <v>59</v>
      </c>
      <c r="D7" s="53" t="s">
        <v>193</v>
      </c>
      <c r="E7" s="53" t="s">
        <v>194</v>
      </c>
      <c r="F7" s="53" t="s">
        <v>195</v>
      </c>
      <c r="G7" s="53" t="s">
        <v>196</v>
      </c>
      <c r="H7" s="53">
        <v>7.19</v>
      </c>
      <c r="I7" s="53">
        <v>132.5</v>
      </c>
      <c r="J7" s="53">
        <v>1176</v>
      </c>
      <c r="K7" s="53">
        <v>26.5</v>
      </c>
      <c r="L7" s="53">
        <v>1.42</v>
      </c>
      <c r="M7" s="53">
        <v>588</v>
      </c>
      <c r="N7" s="53">
        <v>0.92</v>
      </c>
      <c r="O7" s="53">
        <v>2.9999999999999997E-4</v>
      </c>
      <c r="P7" s="53">
        <v>1.2E-2</v>
      </c>
      <c r="Q7" s="53">
        <v>0.74</v>
      </c>
      <c r="R7" s="53">
        <v>600</v>
      </c>
      <c r="S7" s="54">
        <f t="shared" si="0"/>
        <v>9.8333573704291268</v>
      </c>
      <c r="T7" s="53">
        <v>13.38</v>
      </c>
      <c r="U7" s="54">
        <f t="shared" si="1"/>
        <v>0.66769798892160281</v>
      </c>
      <c r="V7" s="53">
        <v>5.4</v>
      </c>
      <c r="W7" s="55">
        <f t="shared" si="2"/>
        <v>0.15232722143864597</v>
      </c>
      <c r="X7" s="53">
        <v>110.4</v>
      </c>
      <c r="Y7" s="54">
        <f t="shared" si="3"/>
        <v>2.2985633978763276</v>
      </c>
      <c r="Z7" s="53">
        <v>3.8</v>
      </c>
      <c r="AA7" s="55">
        <f t="shared" si="4"/>
        <v>0.16528925619834711</v>
      </c>
      <c r="AB7" s="53">
        <v>2.96</v>
      </c>
      <c r="AC7" s="56">
        <f t="shared" si="5"/>
        <v>7.5877980005126897E-2</v>
      </c>
      <c r="AD7" s="1">
        <v>720.44</v>
      </c>
      <c r="AE7" s="57">
        <f t="shared" si="6"/>
        <v>18.468085106382983</v>
      </c>
      <c r="AF7" s="1">
        <v>6.9999999999999988E-4</v>
      </c>
      <c r="AG7" s="1">
        <v>268</v>
      </c>
      <c r="AH7" s="1">
        <v>20</v>
      </c>
      <c r="AI7" s="1">
        <v>6.4</v>
      </c>
      <c r="AJ7" s="1">
        <v>4.68</v>
      </c>
    </row>
    <row r="8" spans="1:36" ht="28.8" thickBot="1" x14ac:dyDescent="0.35">
      <c r="A8" s="53" t="s">
        <v>197</v>
      </c>
      <c r="B8" s="59" t="s">
        <v>72</v>
      </c>
      <c r="C8" s="58" t="s">
        <v>59</v>
      </c>
      <c r="D8" s="53" t="s">
        <v>198</v>
      </c>
      <c r="E8" s="53" t="s">
        <v>199</v>
      </c>
      <c r="F8" s="53" t="s">
        <v>200</v>
      </c>
      <c r="G8" s="53">
        <v>74.344516999999996</v>
      </c>
      <c r="H8" s="53">
        <v>7.61</v>
      </c>
      <c r="I8" s="53">
        <v>132.30000000000001</v>
      </c>
      <c r="J8" s="53">
        <v>1210</v>
      </c>
      <c r="K8" s="53">
        <v>26.4</v>
      </c>
      <c r="L8" s="53">
        <v>1.42</v>
      </c>
      <c r="M8" s="53">
        <v>605</v>
      </c>
      <c r="N8" s="53">
        <v>0.6</v>
      </c>
      <c r="O8" s="53">
        <v>1E-4</v>
      </c>
      <c r="P8" s="53">
        <v>0.15</v>
      </c>
      <c r="Q8" s="53">
        <v>1.24</v>
      </c>
      <c r="R8" s="53">
        <v>546</v>
      </c>
      <c r="S8" s="54">
        <f t="shared" si="0"/>
        <v>8.9483552070905059</v>
      </c>
      <c r="T8" s="53">
        <v>18.27</v>
      </c>
      <c r="U8" s="54">
        <f t="shared" si="1"/>
        <v>0.91172214182344424</v>
      </c>
      <c r="V8" s="53">
        <v>3.3</v>
      </c>
      <c r="W8" s="55">
        <f t="shared" si="2"/>
        <v>9.3088857545839204E-2</v>
      </c>
      <c r="X8" s="53">
        <v>65.2</v>
      </c>
      <c r="Y8" s="54">
        <f t="shared" si="3"/>
        <v>1.3574849052675411</v>
      </c>
      <c r="Z8" s="53">
        <v>12.709999999999999</v>
      </c>
      <c r="AA8" s="55">
        <f t="shared" si="4"/>
        <v>0.55284906481078733</v>
      </c>
      <c r="AB8" s="53">
        <v>65.06</v>
      </c>
      <c r="AC8" s="56">
        <f t="shared" si="5"/>
        <v>1.6677774929505256</v>
      </c>
      <c r="AD8" s="1">
        <v>456.39</v>
      </c>
      <c r="AE8" s="57">
        <f t="shared" si="6"/>
        <v>11.69930786977698</v>
      </c>
      <c r="AF8" s="1">
        <v>1.8E-3</v>
      </c>
      <c r="AG8" s="1">
        <v>328</v>
      </c>
      <c r="AH8" s="1">
        <v>53.6</v>
      </c>
      <c r="AI8" s="1">
        <v>3.8</v>
      </c>
      <c r="AJ8" s="1">
        <v>1.8800000000000003</v>
      </c>
    </row>
    <row r="9" spans="1:36" ht="28.8" thickBot="1" x14ac:dyDescent="0.35">
      <c r="A9" s="53" t="s">
        <v>201</v>
      </c>
      <c r="B9" s="59" t="s">
        <v>72</v>
      </c>
      <c r="C9" s="58" t="s">
        <v>59</v>
      </c>
      <c r="D9" s="53" t="s">
        <v>193</v>
      </c>
      <c r="E9" s="53" t="s">
        <v>194</v>
      </c>
      <c r="F9" s="53" t="s">
        <v>202</v>
      </c>
      <c r="G9" s="53" t="s">
        <v>203</v>
      </c>
      <c r="H9" s="53">
        <v>7.7</v>
      </c>
      <c r="I9" s="53">
        <v>132.30000000000001</v>
      </c>
      <c r="J9" s="53">
        <v>1591</v>
      </c>
      <c r="K9" s="53">
        <v>26.36</v>
      </c>
      <c r="L9" s="53">
        <v>1.42</v>
      </c>
      <c r="M9" s="53">
        <v>796</v>
      </c>
      <c r="N9" s="53">
        <v>1.47</v>
      </c>
      <c r="O9" s="53">
        <v>2.0000000000000001E-4</v>
      </c>
      <c r="P9" s="53">
        <v>0.21</v>
      </c>
      <c r="Q9" s="53">
        <v>2.61</v>
      </c>
      <c r="R9" s="53">
        <v>588</v>
      </c>
      <c r="S9" s="54">
        <f t="shared" si="0"/>
        <v>9.636690223020544</v>
      </c>
      <c r="T9" s="53">
        <v>16.3</v>
      </c>
      <c r="U9" s="54">
        <f t="shared" si="1"/>
        <v>0.81341384300613806</v>
      </c>
      <c r="V9" s="53">
        <v>4.9000000000000004</v>
      </c>
      <c r="W9" s="55">
        <f t="shared" si="2"/>
        <v>0.1382228490832158</v>
      </c>
      <c r="X9" s="53">
        <v>184.7</v>
      </c>
      <c r="Y9" s="54">
        <f t="shared" si="3"/>
        <v>3.8455132209036016</v>
      </c>
      <c r="Z9" s="53">
        <v>5.57</v>
      </c>
      <c r="AA9" s="55">
        <f t="shared" si="4"/>
        <v>0.24227925184862986</v>
      </c>
      <c r="AB9" s="53">
        <v>3.61</v>
      </c>
      <c r="AC9" s="56">
        <f t="shared" si="5"/>
        <v>9.2540374263009484E-2</v>
      </c>
      <c r="AD9" s="1">
        <v>727</v>
      </c>
      <c r="AE9" s="57">
        <f t="shared" si="6"/>
        <v>18.636247116124071</v>
      </c>
      <c r="AF9" s="1">
        <v>2.0999999999999999E-3</v>
      </c>
      <c r="AG9" s="1">
        <v>260</v>
      </c>
      <c r="AH9" s="1">
        <v>9.1999999999999993</v>
      </c>
      <c r="AI9" s="1">
        <v>4.4000000000000004</v>
      </c>
      <c r="AJ9" s="1">
        <v>3.5799999999999996</v>
      </c>
    </row>
    <row r="10" spans="1:36" ht="28.8" thickBot="1" x14ac:dyDescent="0.35">
      <c r="A10" s="53" t="s">
        <v>204</v>
      </c>
      <c r="B10" s="59" t="s">
        <v>72</v>
      </c>
      <c r="C10" s="58" t="s">
        <v>59</v>
      </c>
      <c r="D10" s="53" t="s">
        <v>205</v>
      </c>
      <c r="E10" s="53" t="s">
        <v>206</v>
      </c>
      <c r="F10" s="53" t="s">
        <v>207</v>
      </c>
      <c r="G10" s="53" t="s">
        <v>208</v>
      </c>
      <c r="H10" s="53">
        <v>7.66</v>
      </c>
      <c r="I10" s="53">
        <v>132.1</v>
      </c>
      <c r="J10" s="53">
        <v>697</v>
      </c>
      <c r="K10" s="53">
        <v>26.33</v>
      </c>
      <c r="L10" s="53">
        <v>1.42</v>
      </c>
      <c r="M10" s="53">
        <v>340</v>
      </c>
      <c r="N10" s="53">
        <v>1.08</v>
      </c>
      <c r="O10" s="53">
        <v>4.0000000000000002E-4</v>
      </c>
      <c r="P10" s="53">
        <v>0.28999999999999998</v>
      </c>
      <c r="Q10" s="53">
        <v>1.7</v>
      </c>
      <c r="R10" s="53">
        <v>471</v>
      </c>
      <c r="S10" s="54">
        <f t="shared" si="0"/>
        <v>7.7191855357868651</v>
      </c>
      <c r="T10" s="53">
        <v>11.92</v>
      </c>
      <c r="U10" s="54">
        <f t="shared" si="1"/>
        <v>0.59484006187933525</v>
      </c>
      <c r="V10" s="53">
        <v>2.7</v>
      </c>
      <c r="W10" s="55">
        <f t="shared" si="2"/>
        <v>7.6163610719322983E-2</v>
      </c>
      <c r="X10" s="53">
        <v>117.8</v>
      </c>
      <c r="Y10" s="54">
        <f t="shared" si="3"/>
        <v>2.4526337705600665</v>
      </c>
      <c r="Z10" s="53">
        <v>11.04</v>
      </c>
      <c r="AA10" s="55">
        <f t="shared" si="4"/>
        <v>0.4802087864288821</v>
      </c>
      <c r="AB10" s="53">
        <v>2.96</v>
      </c>
      <c r="AC10" s="56">
        <f t="shared" si="5"/>
        <v>7.5877980005126897E-2</v>
      </c>
      <c r="AD10" s="1">
        <v>523.80999999999995</v>
      </c>
      <c r="AE10" s="57">
        <f t="shared" si="6"/>
        <v>13.42758267110997</v>
      </c>
      <c r="AF10" s="1">
        <v>0</v>
      </c>
      <c r="AG10" s="1">
        <v>336</v>
      </c>
      <c r="AH10" s="1">
        <v>44.4</v>
      </c>
      <c r="AI10" s="1">
        <v>5.0999999999999996</v>
      </c>
      <c r="AJ10" s="1">
        <v>2.5799999999999996</v>
      </c>
    </row>
    <row r="11" spans="1:36" ht="28.8" thickBot="1" x14ac:dyDescent="0.35">
      <c r="A11" s="53" t="s">
        <v>209</v>
      </c>
      <c r="B11" s="59" t="s">
        <v>72</v>
      </c>
      <c r="C11" s="58" t="s">
        <v>59</v>
      </c>
      <c r="D11" s="53" t="s">
        <v>193</v>
      </c>
      <c r="E11" s="53" t="s">
        <v>210</v>
      </c>
      <c r="F11" s="53" t="s">
        <v>211</v>
      </c>
      <c r="G11" s="53" t="s">
        <v>212</v>
      </c>
      <c r="H11" s="53">
        <v>7.34</v>
      </c>
      <c r="I11" s="53">
        <v>132.1</v>
      </c>
      <c r="J11" s="53">
        <v>834</v>
      </c>
      <c r="K11" s="53">
        <v>26.36</v>
      </c>
      <c r="L11" s="53">
        <v>1.44</v>
      </c>
      <c r="M11" s="53">
        <v>417</v>
      </c>
      <c r="N11" s="53">
        <v>0.43</v>
      </c>
      <c r="O11" s="53">
        <v>2.9999999999999997E-4</v>
      </c>
      <c r="P11" s="53">
        <v>0.21</v>
      </c>
      <c r="Q11" s="53">
        <v>1.3</v>
      </c>
      <c r="R11" s="53">
        <v>512</v>
      </c>
      <c r="S11" s="54">
        <f t="shared" si="0"/>
        <v>8.3911316227661885</v>
      </c>
      <c r="T11" s="53">
        <v>21.66</v>
      </c>
      <c r="U11" s="54">
        <f t="shared" si="1"/>
        <v>1.080892260092819</v>
      </c>
      <c r="V11" s="53">
        <v>11.6</v>
      </c>
      <c r="W11" s="55">
        <f t="shared" si="2"/>
        <v>0.32722143864598024</v>
      </c>
      <c r="X11" s="53">
        <v>78.400000000000006</v>
      </c>
      <c r="Y11" s="54">
        <f t="shared" si="3"/>
        <v>1.6323131376223194</v>
      </c>
      <c r="Z11" s="53">
        <v>1.47</v>
      </c>
      <c r="AA11" s="55">
        <f t="shared" si="4"/>
        <v>6.3940843845150072E-2</v>
      </c>
      <c r="AB11" s="53">
        <v>19.760000000000002</v>
      </c>
      <c r="AC11" s="56">
        <f t="shared" si="5"/>
        <v>0.50653678543963088</v>
      </c>
      <c r="AD11" s="1">
        <v>515.16</v>
      </c>
      <c r="AE11" s="57">
        <f t="shared" si="6"/>
        <v>13.205844655216611</v>
      </c>
      <c r="AF11" s="1">
        <v>0</v>
      </c>
      <c r="AG11" s="1">
        <v>376</v>
      </c>
      <c r="AH11" s="1">
        <v>65</v>
      </c>
      <c r="AI11" s="1">
        <v>5.3</v>
      </c>
      <c r="AJ11" s="1">
        <v>4.68</v>
      </c>
    </row>
    <row r="12" spans="1:36" ht="42" thickBot="1" x14ac:dyDescent="0.35">
      <c r="A12" s="53" t="s">
        <v>213</v>
      </c>
      <c r="B12" s="59" t="s">
        <v>81</v>
      </c>
      <c r="C12" s="53" t="s">
        <v>214</v>
      </c>
      <c r="D12" s="53" t="s">
        <v>215</v>
      </c>
      <c r="E12" s="53" t="s">
        <v>216</v>
      </c>
      <c r="F12" s="53" t="s">
        <v>217</v>
      </c>
      <c r="G12" s="53" t="s">
        <v>218</v>
      </c>
      <c r="H12" s="53">
        <v>7.35</v>
      </c>
      <c r="I12" s="53">
        <v>132.1</v>
      </c>
      <c r="J12" s="53">
        <v>1349</v>
      </c>
      <c r="K12" s="53">
        <v>26.48</v>
      </c>
      <c r="L12" s="53">
        <v>1.44</v>
      </c>
      <c r="M12" s="53">
        <v>679</v>
      </c>
      <c r="N12" s="53">
        <v>1.54</v>
      </c>
      <c r="O12" s="53">
        <v>2.9999999999999997E-4</v>
      </c>
      <c r="P12" s="53">
        <v>0.27</v>
      </c>
      <c r="Q12" s="53">
        <v>0.51</v>
      </c>
      <c r="R12" s="53">
        <v>521</v>
      </c>
      <c r="S12" s="54">
        <f t="shared" si="0"/>
        <v>8.5386319833226256</v>
      </c>
      <c r="T12" s="53">
        <v>219.49</v>
      </c>
      <c r="U12" s="54">
        <f t="shared" si="1"/>
        <v>10.953141374320076</v>
      </c>
      <c r="V12" s="53">
        <v>5.5</v>
      </c>
      <c r="W12" s="55">
        <f t="shared" si="2"/>
        <v>0.155148095909732</v>
      </c>
      <c r="X12" s="53">
        <v>112.6</v>
      </c>
      <c r="Y12" s="54">
        <f t="shared" si="3"/>
        <v>2.3443681032687902</v>
      </c>
      <c r="Z12" s="53">
        <v>0.89</v>
      </c>
      <c r="AA12" s="55">
        <f t="shared" si="4"/>
        <v>3.8712483688560249E-2</v>
      </c>
      <c r="AB12" s="53">
        <v>2.87</v>
      </c>
      <c r="AC12" s="56">
        <f t="shared" si="5"/>
        <v>7.357087926172777E-2</v>
      </c>
      <c r="AD12" s="1">
        <v>362.01</v>
      </c>
      <c r="AE12" s="57">
        <f t="shared" si="6"/>
        <v>9.2799282235324281</v>
      </c>
      <c r="AF12" s="1">
        <v>2.1999999999999999E-2</v>
      </c>
      <c r="AG12" s="1">
        <v>380</v>
      </c>
      <c r="AH12" s="1">
        <v>83.5</v>
      </c>
      <c r="AI12" s="1">
        <v>29.4</v>
      </c>
      <c r="AJ12" s="1">
        <v>4.18</v>
      </c>
    </row>
    <row r="13" spans="1:36" ht="28.8" thickBot="1" x14ac:dyDescent="0.35">
      <c r="A13" s="53" t="s">
        <v>219</v>
      </c>
      <c r="B13" s="59" t="s">
        <v>81</v>
      </c>
      <c r="C13" s="58" t="s">
        <v>59</v>
      </c>
      <c r="D13" s="53" t="s">
        <v>198</v>
      </c>
      <c r="E13" s="53" t="s">
        <v>220</v>
      </c>
      <c r="F13" s="53" t="s">
        <v>221</v>
      </c>
      <c r="G13" s="53" t="s">
        <v>222</v>
      </c>
      <c r="H13" s="53">
        <v>7.05</v>
      </c>
      <c r="I13" s="53">
        <v>131.1</v>
      </c>
      <c r="J13" s="53">
        <v>1346</v>
      </c>
      <c r="K13" s="53">
        <v>26.41</v>
      </c>
      <c r="L13" s="53">
        <v>1.44</v>
      </c>
      <c r="M13" s="53">
        <v>673</v>
      </c>
      <c r="N13" s="53">
        <v>1.6</v>
      </c>
      <c r="O13" s="53">
        <v>2.0000000000000001E-4</v>
      </c>
      <c r="P13" s="53">
        <v>0.13</v>
      </c>
      <c r="Q13" s="53">
        <v>1.2</v>
      </c>
      <c r="R13" s="53">
        <v>320</v>
      </c>
      <c r="S13" s="54">
        <f t="shared" si="0"/>
        <v>5.2444572642288678</v>
      </c>
      <c r="T13" s="53">
        <v>96.12</v>
      </c>
      <c r="U13" s="54">
        <f t="shared" si="1"/>
        <v>4.7966465392484654</v>
      </c>
      <c r="V13" s="53">
        <v>17.5</v>
      </c>
      <c r="W13" s="55">
        <f t="shared" si="2"/>
        <v>0.49365303244005637</v>
      </c>
      <c r="X13" s="53">
        <v>183.7</v>
      </c>
      <c r="Y13" s="54">
        <f t="shared" si="3"/>
        <v>3.824692900270664</v>
      </c>
      <c r="Z13" s="53">
        <v>33.89</v>
      </c>
      <c r="AA13" s="55">
        <f t="shared" si="4"/>
        <v>1.4741191822531536</v>
      </c>
      <c r="AB13" s="53">
        <v>2.31</v>
      </c>
      <c r="AC13" s="56">
        <f t="shared" si="5"/>
        <v>5.9215585747244302E-2</v>
      </c>
      <c r="AD13" s="1">
        <v>338.9</v>
      </c>
      <c r="AE13" s="57">
        <f t="shared" si="6"/>
        <v>8.6875160215329394</v>
      </c>
      <c r="AF13" s="1">
        <v>1.3999999999999999E-2</v>
      </c>
      <c r="AG13" s="1">
        <v>376</v>
      </c>
      <c r="AH13" s="1">
        <v>74.900000000000006</v>
      </c>
      <c r="AI13" s="1">
        <v>4.4000000000000004</v>
      </c>
      <c r="AJ13" s="1">
        <v>1.3800000000000003</v>
      </c>
    </row>
    <row r="14" spans="1:36" ht="28.8" thickBot="1" x14ac:dyDescent="0.35">
      <c r="A14" s="53" t="s">
        <v>223</v>
      </c>
      <c r="B14" s="59" t="s">
        <v>81</v>
      </c>
      <c r="C14" s="58" t="s">
        <v>59</v>
      </c>
      <c r="D14" s="53" t="s">
        <v>193</v>
      </c>
      <c r="E14" s="53" t="s">
        <v>224</v>
      </c>
      <c r="F14" s="53" t="s">
        <v>225</v>
      </c>
      <c r="G14" s="53" t="s">
        <v>226</v>
      </c>
      <c r="H14" s="53">
        <v>7.24</v>
      </c>
      <c r="I14" s="53">
        <v>131.1</v>
      </c>
      <c r="J14" s="53">
        <v>815</v>
      </c>
      <c r="K14" s="53">
        <v>26.33</v>
      </c>
      <c r="L14" s="53">
        <v>1.44</v>
      </c>
      <c r="M14" s="53">
        <v>407</v>
      </c>
      <c r="N14" s="53">
        <v>1.47</v>
      </c>
      <c r="O14" s="53">
        <v>2.9999999999999997E-4</v>
      </c>
      <c r="P14" s="53">
        <v>0.17</v>
      </c>
      <c r="Q14" s="53">
        <v>1.64</v>
      </c>
      <c r="R14" s="53">
        <v>349</v>
      </c>
      <c r="S14" s="54">
        <f t="shared" si="0"/>
        <v>5.7197362037996093</v>
      </c>
      <c r="T14" s="53">
        <v>106.71</v>
      </c>
      <c r="U14" s="54">
        <f t="shared" si="1"/>
        <v>5.3251160237536794</v>
      </c>
      <c r="V14" s="53">
        <v>16.399999999999999</v>
      </c>
      <c r="W14" s="55">
        <f t="shared" si="2"/>
        <v>0.46262341325810996</v>
      </c>
      <c r="X14" s="53">
        <v>188.7</v>
      </c>
      <c r="Y14" s="54">
        <f t="shared" si="3"/>
        <v>3.9287945034353524</v>
      </c>
      <c r="Z14" s="53">
        <v>2.5099999999999998</v>
      </c>
      <c r="AA14" s="55">
        <f t="shared" si="4"/>
        <v>0.10917790343627665</v>
      </c>
      <c r="AB14" s="53">
        <v>2.9</v>
      </c>
      <c r="AC14" s="56">
        <f t="shared" si="5"/>
        <v>7.4339912842860803E-2</v>
      </c>
      <c r="AD14" s="1">
        <v>391.27</v>
      </c>
      <c r="AE14" s="57">
        <f t="shared" si="6"/>
        <v>10.029992309664189</v>
      </c>
      <c r="AF14" s="1">
        <v>1.9E-2</v>
      </c>
      <c r="AG14" s="1">
        <v>196</v>
      </c>
      <c r="AH14" s="1">
        <v>66.8</v>
      </c>
      <c r="AI14" s="1">
        <v>4.1999999999999993</v>
      </c>
      <c r="AJ14" s="1">
        <v>3.0799999999999996</v>
      </c>
    </row>
    <row r="15" spans="1:36" ht="28.8" thickBot="1" x14ac:dyDescent="0.35">
      <c r="A15" s="53" t="s">
        <v>227</v>
      </c>
      <c r="B15" s="59" t="s">
        <v>81</v>
      </c>
      <c r="C15" s="58" t="s">
        <v>228</v>
      </c>
      <c r="D15" s="53" t="s">
        <v>229</v>
      </c>
      <c r="E15" s="53" t="s">
        <v>230</v>
      </c>
      <c r="F15" s="53" t="s">
        <v>231</v>
      </c>
      <c r="G15" s="53" t="s">
        <v>232</v>
      </c>
      <c r="H15" s="53">
        <v>7.12</v>
      </c>
      <c r="I15" s="53">
        <v>131.6</v>
      </c>
      <c r="J15" s="53">
        <v>791</v>
      </c>
      <c r="K15" s="53">
        <v>26.35</v>
      </c>
      <c r="L15" s="53">
        <v>1.43</v>
      </c>
      <c r="M15" s="53">
        <v>395</v>
      </c>
      <c r="N15" s="53">
        <v>1.63</v>
      </c>
      <c r="O15" s="53">
        <v>2.9999999999999997E-4</v>
      </c>
      <c r="P15" s="53">
        <v>0.10199999999999999</v>
      </c>
      <c r="Q15" s="53">
        <v>2.11</v>
      </c>
      <c r="R15" s="53">
        <v>455</v>
      </c>
      <c r="S15" s="54">
        <f t="shared" si="0"/>
        <v>7.456962672575421</v>
      </c>
      <c r="T15" s="53">
        <v>95.05</v>
      </c>
      <c r="U15" s="54">
        <f t="shared" si="1"/>
        <v>4.7432506612106389</v>
      </c>
      <c r="V15" s="53">
        <v>7.6</v>
      </c>
      <c r="W15" s="55">
        <f t="shared" si="2"/>
        <v>0.21438645980253876</v>
      </c>
      <c r="X15" s="53">
        <v>64.2</v>
      </c>
      <c r="Y15" s="54">
        <f t="shared" si="3"/>
        <v>1.3366645846346035</v>
      </c>
      <c r="Z15" s="53">
        <v>0.77</v>
      </c>
      <c r="AA15" s="55">
        <f t="shared" si="4"/>
        <v>3.3492822966507178E-2</v>
      </c>
      <c r="AB15" s="53">
        <v>2.89</v>
      </c>
      <c r="AC15" s="56">
        <f t="shared" si="5"/>
        <v>7.4083568315816459E-2</v>
      </c>
      <c r="AD15" s="1">
        <v>473.79</v>
      </c>
      <c r="AE15" s="57">
        <f t="shared" si="6"/>
        <v>12.145347346834146</v>
      </c>
      <c r="AF15" s="1">
        <v>6.0000000000000006E-4</v>
      </c>
      <c r="AG15" s="1">
        <v>288</v>
      </c>
      <c r="AH15" s="1">
        <v>52.1</v>
      </c>
      <c r="AI15" s="1">
        <v>6.4</v>
      </c>
      <c r="AJ15" s="1">
        <v>1.2799999999999998</v>
      </c>
    </row>
    <row r="16" spans="1:36" ht="28.2" thickBot="1" x14ac:dyDescent="0.35">
      <c r="A16" s="53" t="s">
        <v>233</v>
      </c>
      <c r="B16" s="59" t="s">
        <v>81</v>
      </c>
      <c r="C16" s="53" t="s">
        <v>234</v>
      </c>
      <c r="D16" s="53" t="s">
        <v>193</v>
      </c>
      <c r="E16" s="53" t="s">
        <v>235</v>
      </c>
      <c r="F16" s="53" t="s">
        <v>236</v>
      </c>
      <c r="G16" s="53" t="s">
        <v>196</v>
      </c>
      <c r="H16" s="53">
        <v>7.37</v>
      </c>
      <c r="I16" s="53">
        <v>131.6</v>
      </c>
      <c r="J16" s="53">
        <v>590</v>
      </c>
      <c r="K16" s="53">
        <v>26.33</v>
      </c>
      <c r="L16" s="53">
        <v>1.43</v>
      </c>
      <c r="M16" s="53">
        <v>295</v>
      </c>
      <c r="N16" s="53">
        <v>0.28999999999999998</v>
      </c>
      <c r="O16" s="53">
        <v>1E-4</v>
      </c>
      <c r="P16" s="53">
        <v>0.03</v>
      </c>
      <c r="Q16" s="53">
        <v>3.61</v>
      </c>
      <c r="R16" s="53">
        <v>485</v>
      </c>
      <c r="S16" s="54">
        <f t="shared" si="0"/>
        <v>7.9486305410968781</v>
      </c>
      <c r="T16" s="53">
        <v>95.36</v>
      </c>
      <c r="U16" s="54">
        <f t="shared" si="1"/>
        <v>4.758720495034682</v>
      </c>
      <c r="V16" s="53">
        <v>6.7</v>
      </c>
      <c r="W16" s="55">
        <f t="shared" si="2"/>
        <v>0.18899858956276444</v>
      </c>
      <c r="X16" s="53">
        <v>48.3</v>
      </c>
      <c r="Y16" s="54">
        <f t="shared" si="3"/>
        <v>1.005621486570893</v>
      </c>
      <c r="Z16" s="53">
        <v>1.64</v>
      </c>
      <c r="AA16" s="55">
        <f t="shared" si="4"/>
        <v>7.1335363201391916E-2</v>
      </c>
      <c r="AB16" s="53">
        <v>2.87</v>
      </c>
      <c r="AC16" s="56">
        <f t="shared" si="5"/>
        <v>7.357087926172777E-2</v>
      </c>
      <c r="AD16" s="1">
        <v>437.59</v>
      </c>
      <c r="AE16" s="57">
        <f t="shared" si="6"/>
        <v>11.217380158933606</v>
      </c>
      <c r="AF16" s="1">
        <v>5.0000000000000001E-3</v>
      </c>
      <c r="AG16" s="1">
        <v>328</v>
      </c>
      <c r="AH16" s="1">
        <v>43.4</v>
      </c>
      <c r="AI16" s="1">
        <v>9.4</v>
      </c>
      <c r="AJ16" s="1">
        <v>4.7800000000000011</v>
      </c>
    </row>
    <row r="17" spans="1:36" ht="28.8" thickBot="1" x14ac:dyDescent="0.35">
      <c r="A17" s="53" t="s">
        <v>237</v>
      </c>
      <c r="B17" s="59" t="s">
        <v>81</v>
      </c>
      <c r="C17" s="58" t="s">
        <v>59</v>
      </c>
      <c r="D17" s="53" t="s">
        <v>238</v>
      </c>
      <c r="E17" s="53" t="s">
        <v>199</v>
      </c>
      <c r="F17" s="53" t="s">
        <v>239</v>
      </c>
      <c r="G17" s="53" t="s">
        <v>240</v>
      </c>
      <c r="H17" s="53">
        <v>7.49</v>
      </c>
      <c r="I17" s="53">
        <v>131.30000000000001</v>
      </c>
      <c r="J17" s="53">
        <v>957</v>
      </c>
      <c r="K17" s="53">
        <v>26.44</v>
      </c>
      <c r="L17" s="53">
        <v>1.43</v>
      </c>
      <c r="M17" s="53">
        <v>479</v>
      </c>
      <c r="N17" s="53">
        <v>0.5</v>
      </c>
      <c r="O17" s="53">
        <v>2.0000000000000001E-4</v>
      </c>
      <c r="P17" s="53">
        <v>0.15</v>
      </c>
      <c r="Q17" s="53">
        <v>0.84</v>
      </c>
      <c r="R17" s="53">
        <v>480</v>
      </c>
      <c r="S17" s="54">
        <f t="shared" si="0"/>
        <v>7.8666858963433013</v>
      </c>
      <c r="T17" s="53">
        <v>81.72</v>
      </c>
      <c r="U17" s="54">
        <f t="shared" si="1"/>
        <v>4.0780478067767847</v>
      </c>
      <c r="V17" s="53">
        <v>4.8</v>
      </c>
      <c r="W17" s="55">
        <f t="shared" si="2"/>
        <v>0.13540197461212974</v>
      </c>
      <c r="X17" s="53">
        <v>41.6</v>
      </c>
      <c r="Y17" s="54">
        <f t="shared" si="3"/>
        <v>0.86612533833021033</v>
      </c>
      <c r="Z17" s="53">
        <v>10.33</v>
      </c>
      <c r="AA17" s="55">
        <f t="shared" si="4"/>
        <v>0.44932579382340149</v>
      </c>
      <c r="AB17" s="53">
        <v>2.9</v>
      </c>
      <c r="AC17" s="56">
        <f t="shared" si="5"/>
        <v>7.4339912842860803E-2</v>
      </c>
      <c r="AD17" s="1">
        <v>462.92</v>
      </c>
      <c r="AE17" s="57">
        <f t="shared" si="6"/>
        <v>11.86670084593694</v>
      </c>
      <c r="AF17" s="1">
        <v>6.9999999999999988E-4</v>
      </c>
      <c r="AG17" s="1">
        <v>280</v>
      </c>
      <c r="AH17" s="1">
        <v>74.900000000000006</v>
      </c>
      <c r="AI17" s="1">
        <v>4.3</v>
      </c>
      <c r="AJ17" s="1">
        <v>1.5799999999999996</v>
      </c>
    </row>
    <row r="18" spans="1:36" ht="28.2" thickBot="1" x14ac:dyDescent="0.35">
      <c r="A18" s="53" t="s">
        <v>241</v>
      </c>
      <c r="B18" s="53" t="s">
        <v>96</v>
      </c>
      <c r="C18" s="53" t="s">
        <v>242</v>
      </c>
      <c r="D18" s="53" t="s">
        <v>243</v>
      </c>
      <c r="E18" s="53" t="s">
        <v>244</v>
      </c>
      <c r="F18" s="53" t="s">
        <v>245</v>
      </c>
      <c r="G18" s="53" t="s">
        <v>246</v>
      </c>
      <c r="H18" s="53">
        <v>7.38</v>
      </c>
      <c r="I18" s="53">
        <v>131.19999999999999</v>
      </c>
      <c r="J18" s="53">
        <v>652</v>
      </c>
      <c r="K18" s="53">
        <v>26.52</v>
      </c>
      <c r="L18" s="53">
        <v>1.44</v>
      </c>
      <c r="M18" s="53">
        <v>326</v>
      </c>
      <c r="N18" s="53">
        <v>1.23</v>
      </c>
      <c r="O18" s="53">
        <v>2.9999999999999997E-4</v>
      </c>
      <c r="P18" s="53">
        <v>0.84</v>
      </c>
      <c r="Q18" s="53">
        <v>1.3</v>
      </c>
      <c r="R18" s="53">
        <v>194</v>
      </c>
      <c r="S18" s="54">
        <f t="shared" si="0"/>
        <v>3.1794522164387513</v>
      </c>
      <c r="T18" s="53">
        <v>96.24</v>
      </c>
      <c r="U18" s="54">
        <f t="shared" si="1"/>
        <v>4.8026348620190626</v>
      </c>
      <c r="V18" s="53">
        <v>5.6</v>
      </c>
      <c r="W18" s="55">
        <f t="shared" si="2"/>
        <v>0.15796897038081803</v>
      </c>
      <c r="X18" s="53">
        <v>92.5</v>
      </c>
      <c r="Y18" s="54">
        <f t="shared" si="3"/>
        <v>1.9258796585467415</v>
      </c>
      <c r="Z18" s="53">
        <v>1.56</v>
      </c>
      <c r="AA18" s="55">
        <f t="shared" si="4"/>
        <v>6.7855589386689869E-2</v>
      </c>
      <c r="AB18" s="53">
        <v>62.21</v>
      </c>
      <c r="AC18" s="56">
        <f t="shared" si="5"/>
        <v>1.5947193027428865</v>
      </c>
      <c r="AD18" s="1">
        <v>149.84</v>
      </c>
      <c r="AE18" s="57">
        <f t="shared" si="6"/>
        <v>3.8410663932325049</v>
      </c>
      <c r="AF18" s="1">
        <v>1.8E-3</v>
      </c>
      <c r="AG18" s="1">
        <v>168</v>
      </c>
      <c r="AH18" s="1">
        <v>62.3</v>
      </c>
      <c r="AI18" s="1">
        <v>7.1999999999999993</v>
      </c>
      <c r="AJ18" s="1">
        <v>2.98</v>
      </c>
    </row>
    <row r="19" spans="1:36" ht="28.2" thickBot="1" x14ac:dyDescent="0.35">
      <c r="A19" s="53" t="s">
        <v>247</v>
      </c>
      <c r="B19" s="53" t="s">
        <v>96</v>
      </c>
      <c r="C19" s="53" t="s">
        <v>248</v>
      </c>
      <c r="D19" s="53" t="s">
        <v>249</v>
      </c>
      <c r="E19" s="53" t="s">
        <v>220</v>
      </c>
      <c r="F19" s="53" t="s">
        <v>250</v>
      </c>
      <c r="G19" s="53" t="s">
        <v>251</v>
      </c>
      <c r="H19" s="53">
        <v>7.22</v>
      </c>
      <c r="I19" s="53">
        <v>131.19999999999999</v>
      </c>
      <c r="J19" s="53">
        <v>766</v>
      </c>
      <c r="K19" s="53">
        <v>26.4</v>
      </c>
      <c r="L19" s="53">
        <v>1.43</v>
      </c>
      <c r="M19" s="53">
        <v>383</v>
      </c>
      <c r="N19" s="53">
        <v>0.23</v>
      </c>
      <c r="O19" s="53">
        <v>2.0000000000000001E-4</v>
      </c>
      <c r="P19" s="53">
        <v>0.31</v>
      </c>
      <c r="Q19" s="53">
        <v>1.1200000000000001</v>
      </c>
      <c r="R19" s="53">
        <v>368</v>
      </c>
      <c r="S19" s="54">
        <f t="shared" si="0"/>
        <v>6.0311258538631982</v>
      </c>
      <c r="T19" s="53">
        <v>80.819999999999993</v>
      </c>
      <c r="U19" s="54">
        <f t="shared" si="1"/>
        <v>4.0331353859973049</v>
      </c>
      <c r="V19" s="53">
        <v>6</v>
      </c>
      <c r="W19" s="55">
        <f t="shared" si="2"/>
        <v>0.16925246826516219</v>
      </c>
      <c r="X19" s="53">
        <v>76.400000000000006</v>
      </c>
      <c r="Y19" s="54">
        <f t="shared" si="3"/>
        <v>1.590672496356444</v>
      </c>
      <c r="Z19" s="53">
        <v>22.21</v>
      </c>
      <c r="AA19" s="55">
        <f t="shared" si="4"/>
        <v>0.96607220530665516</v>
      </c>
      <c r="AB19" s="53">
        <v>49.26</v>
      </c>
      <c r="AC19" s="56">
        <f t="shared" si="5"/>
        <v>1.2627531402204564</v>
      </c>
      <c r="AD19" s="1">
        <v>333.23</v>
      </c>
      <c r="AE19" s="57">
        <f t="shared" si="6"/>
        <v>8.5421686746987966</v>
      </c>
      <c r="AF19" s="1">
        <v>2.0999999999999999E-3</v>
      </c>
      <c r="AG19" s="1">
        <v>228</v>
      </c>
      <c r="AH19" s="1">
        <v>79.8</v>
      </c>
      <c r="AI19" s="1">
        <v>4.7</v>
      </c>
      <c r="AJ19" s="1">
        <v>3.8800000000000003</v>
      </c>
    </row>
    <row r="20" spans="1:36" ht="28.2" thickBot="1" x14ac:dyDescent="0.35">
      <c r="A20" s="53" t="s">
        <v>252</v>
      </c>
      <c r="B20" s="53" t="s">
        <v>96</v>
      </c>
      <c r="C20" s="53" t="s">
        <v>253</v>
      </c>
      <c r="D20" s="53" t="s">
        <v>139</v>
      </c>
      <c r="E20" s="53" t="s">
        <v>254</v>
      </c>
      <c r="F20" s="53" t="s">
        <v>255</v>
      </c>
      <c r="G20" s="53" t="s">
        <v>256</v>
      </c>
      <c r="H20" s="53">
        <v>7.81</v>
      </c>
      <c r="I20" s="53">
        <v>131.1</v>
      </c>
      <c r="J20" s="53">
        <v>609</v>
      </c>
      <c r="K20" s="53">
        <v>26.6</v>
      </c>
      <c r="L20" s="53">
        <v>1.44</v>
      </c>
      <c r="M20" s="53">
        <v>455</v>
      </c>
      <c r="N20" s="53">
        <v>1.01</v>
      </c>
      <c r="O20" s="53">
        <v>5.0000000000000001E-4</v>
      </c>
      <c r="P20" s="53">
        <v>0.22</v>
      </c>
      <c r="Q20" s="53">
        <v>0.84</v>
      </c>
      <c r="R20" s="53">
        <v>446</v>
      </c>
      <c r="S20" s="54">
        <f t="shared" si="0"/>
        <v>7.3094623120189848</v>
      </c>
      <c r="T20" s="53">
        <v>82.21</v>
      </c>
      <c r="U20" s="54">
        <f t="shared" si="1"/>
        <v>4.1025001247567241</v>
      </c>
      <c r="V20" s="53">
        <v>6.9</v>
      </c>
      <c r="W20" s="55">
        <f t="shared" si="2"/>
        <v>0.19464033850493653</v>
      </c>
      <c r="X20" s="53">
        <v>58.3</v>
      </c>
      <c r="Y20" s="54">
        <f t="shared" si="3"/>
        <v>1.2138246929002705</v>
      </c>
      <c r="Z20" s="53">
        <v>0.36</v>
      </c>
      <c r="AA20" s="55">
        <f t="shared" si="4"/>
        <v>1.5658982166159199E-2</v>
      </c>
      <c r="AB20" s="53">
        <v>10.07</v>
      </c>
      <c r="AC20" s="56">
        <f t="shared" si="5"/>
        <v>0.25813893873365806</v>
      </c>
      <c r="AD20" s="1">
        <v>404.43</v>
      </c>
      <c r="AE20" s="57">
        <f t="shared" si="6"/>
        <v>10.367341707254552</v>
      </c>
      <c r="AF20" s="1">
        <v>3.1000000000000003E-3</v>
      </c>
      <c r="AG20" s="1">
        <v>348</v>
      </c>
      <c r="AH20" s="1">
        <v>70.7</v>
      </c>
      <c r="AI20" s="1">
        <v>5.7</v>
      </c>
      <c r="AJ20" s="1">
        <v>2.5799999999999996</v>
      </c>
    </row>
    <row r="21" spans="1:36" ht="15" thickBot="1" x14ac:dyDescent="0.35">
      <c r="A21" s="53" t="s">
        <v>257</v>
      </c>
      <c r="B21" s="53" t="s">
        <v>96</v>
      </c>
      <c r="C21" s="53" t="s">
        <v>258</v>
      </c>
      <c r="D21" s="53" t="s">
        <v>166</v>
      </c>
      <c r="E21" s="53" t="s">
        <v>210</v>
      </c>
      <c r="F21" s="53" t="s">
        <v>259</v>
      </c>
      <c r="G21" s="53" t="s">
        <v>260</v>
      </c>
      <c r="H21" s="53">
        <v>7.27</v>
      </c>
      <c r="I21" s="53">
        <v>131.1</v>
      </c>
      <c r="J21" s="53">
        <v>559</v>
      </c>
      <c r="K21" s="53">
        <v>27.66</v>
      </c>
      <c r="L21" s="53">
        <v>1.43</v>
      </c>
      <c r="M21" s="53">
        <v>279</v>
      </c>
      <c r="N21" s="53">
        <v>0.53</v>
      </c>
      <c r="O21" s="53">
        <v>6.9999999999999999E-4</v>
      </c>
      <c r="P21" s="53">
        <v>0.16</v>
      </c>
      <c r="Q21" s="53">
        <v>0.61</v>
      </c>
      <c r="R21" s="53">
        <v>360</v>
      </c>
      <c r="S21" s="54">
        <f t="shared" si="0"/>
        <v>5.9000144222574766</v>
      </c>
      <c r="T21" s="53">
        <v>92.63</v>
      </c>
      <c r="U21" s="54">
        <f t="shared" si="1"/>
        <v>4.6224861520035923</v>
      </c>
      <c r="V21" s="53">
        <v>8.1999999999999993</v>
      </c>
      <c r="W21" s="55">
        <f t="shared" si="2"/>
        <v>0.23131170662905498</v>
      </c>
      <c r="X21" s="53">
        <v>75.099999999999994</v>
      </c>
      <c r="Y21" s="54">
        <f t="shared" si="3"/>
        <v>1.5636060795336246</v>
      </c>
      <c r="Z21" s="53">
        <v>21.65</v>
      </c>
      <c r="AA21" s="55">
        <f t="shared" si="4"/>
        <v>0.94171378860374078</v>
      </c>
      <c r="AB21" s="53">
        <v>21.3</v>
      </c>
      <c r="AC21" s="56">
        <f t="shared" si="5"/>
        <v>0.5460138426044604</v>
      </c>
      <c r="AD21" s="1">
        <v>346.65</v>
      </c>
      <c r="AE21" s="57">
        <f t="shared" si="6"/>
        <v>8.8861830299923099</v>
      </c>
      <c r="AF21" s="1">
        <v>2.9999999999999992E-4</v>
      </c>
      <c r="AG21" s="1">
        <v>168</v>
      </c>
      <c r="AH21" s="1">
        <v>59.4</v>
      </c>
      <c r="AI21" s="1">
        <v>6.1</v>
      </c>
      <c r="AJ21" s="1">
        <v>4.68</v>
      </c>
    </row>
    <row r="22" spans="1:36" ht="15" thickBot="1" x14ac:dyDescent="0.35">
      <c r="A22" s="53" t="s">
        <v>261</v>
      </c>
      <c r="B22" s="53" t="s">
        <v>96</v>
      </c>
      <c r="C22" s="53" t="s">
        <v>262</v>
      </c>
      <c r="D22" s="53" t="s">
        <v>263</v>
      </c>
      <c r="E22" s="53" t="s">
        <v>244</v>
      </c>
      <c r="F22" s="53" t="s">
        <v>264</v>
      </c>
      <c r="G22" s="53" t="s">
        <v>265</v>
      </c>
      <c r="H22" s="53">
        <v>7.34</v>
      </c>
      <c r="I22" s="53">
        <v>131</v>
      </c>
      <c r="J22" s="53">
        <v>440</v>
      </c>
      <c r="K22" s="53">
        <v>26.66</v>
      </c>
      <c r="L22" s="53">
        <v>1.44</v>
      </c>
      <c r="M22" s="53">
        <v>220</v>
      </c>
      <c r="N22" s="53">
        <v>0.57999999999999996</v>
      </c>
      <c r="O22" s="53">
        <v>4.0000000000000002E-4</v>
      </c>
      <c r="P22" s="53">
        <v>0.84</v>
      </c>
      <c r="Q22" s="53">
        <v>0.71</v>
      </c>
      <c r="R22" s="53">
        <v>312</v>
      </c>
      <c r="S22" s="54">
        <f t="shared" si="0"/>
        <v>5.1133458326231462</v>
      </c>
      <c r="T22" s="53">
        <v>83.44</v>
      </c>
      <c r="U22" s="54">
        <f t="shared" si="1"/>
        <v>4.1638804331553469</v>
      </c>
      <c r="V22" s="53">
        <v>5.4</v>
      </c>
      <c r="W22" s="55">
        <f t="shared" si="2"/>
        <v>0.15232722143864597</v>
      </c>
      <c r="X22" s="53">
        <v>67.5</v>
      </c>
      <c r="Y22" s="54">
        <f t="shared" si="3"/>
        <v>1.4053716427232978</v>
      </c>
      <c r="Z22" s="53">
        <v>16.09</v>
      </c>
      <c r="AA22" s="55">
        <f t="shared" si="4"/>
        <v>0.69986950848194873</v>
      </c>
      <c r="AB22" s="53">
        <v>6.19</v>
      </c>
      <c r="AC22" s="56">
        <f t="shared" si="5"/>
        <v>0.15867726224045117</v>
      </c>
      <c r="AD22" s="1">
        <v>266.32</v>
      </c>
      <c r="AE22" s="57">
        <f t="shared" si="6"/>
        <v>6.8269674442450654</v>
      </c>
      <c r="AF22" s="1">
        <v>5.0000000000000001E-3</v>
      </c>
      <c r="AG22" s="1">
        <v>240</v>
      </c>
      <c r="AH22" s="1">
        <v>49.22</v>
      </c>
      <c r="AI22" s="1">
        <v>6.8000000000000007</v>
      </c>
      <c r="AJ22" s="1">
        <v>4.18</v>
      </c>
    </row>
    <row r="23" spans="1:36" ht="28.2" thickBot="1" x14ac:dyDescent="0.35">
      <c r="A23" s="53" t="s">
        <v>266</v>
      </c>
      <c r="B23" s="53" t="s">
        <v>96</v>
      </c>
      <c r="C23" s="53" t="s">
        <v>267</v>
      </c>
      <c r="D23" s="53" t="s">
        <v>268</v>
      </c>
      <c r="E23" s="53" t="s">
        <v>224</v>
      </c>
      <c r="F23" s="53" t="s">
        <v>269</v>
      </c>
      <c r="G23" s="53" t="s">
        <v>270</v>
      </c>
      <c r="H23" s="53">
        <v>7.41</v>
      </c>
      <c r="I23" s="53">
        <v>130.9</v>
      </c>
      <c r="J23" s="53">
        <v>284</v>
      </c>
      <c r="K23" s="53">
        <v>26.63</v>
      </c>
      <c r="L23" s="53">
        <v>1.43</v>
      </c>
      <c r="M23" s="53">
        <v>141</v>
      </c>
      <c r="N23" s="53">
        <v>1.28</v>
      </c>
      <c r="O23" s="53">
        <v>2.9999999999999997E-4</v>
      </c>
      <c r="P23" s="53">
        <v>1.3</v>
      </c>
      <c r="Q23" s="53">
        <v>1.3</v>
      </c>
      <c r="R23" s="53">
        <v>80</v>
      </c>
      <c r="S23" s="54">
        <f t="shared" si="0"/>
        <v>1.311114316057217</v>
      </c>
      <c r="T23" s="53">
        <v>84.57</v>
      </c>
      <c r="U23" s="54">
        <f t="shared" si="1"/>
        <v>4.2202704725784717</v>
      </c>
      <c r="V23" s="53">
        <v>7.1</v>
      </c>
      <c r="W23" s="55">
        <f t="shared" si="2"/>
        <v>0.20028208744710857</v>
      </c>
      <c r="X23" s="53">
        <v>186.5</v>
      </c>
      <c r="Y23" s="54">
        <f t="shared" si="3"/>
        <v>3.8829897980428898</v>
      </c>
      <c r="Z23" s="53">
        <v>6.29</v>
      </c>
      <c r="AA23" s="55">
        <f t="shared" si="4"/>
        <v>0.27359721618094823</v>
      </c>
      <c r="AB23" s="53">
        <v>2.88</v>
      </c>
      <c r="AC23" s="56">
        <f t="shared" si="5"/>
        <v>7.3827223788772114E-2</v>
      </c>
      <c r="AD23" s="1">
        <v>178.24</v>
      </c>
      <c r="AE23" s="57">
        <f t="shared" si="6"/>
        <v>4.5690848500384522</v>
      </c>
      <c r="AF23" s="1">
        <v>6.9999999999999988E-4</v>
      </c>
      <c r="AG23" s="1">
        <v>140</v>
      </c>
      <c r="AH23" s="1">
        <v>68.8</v>
      </c>
      <c r="AI23" s="1">
        <v>4.7</v>
      </c>
      <c r="AJ23" s="1">
        <v>1.3800000000000003</v>
      </c>
    </row>
    <row r="24" spans="1:36" ht="28.2" thickBot="1" x14ac:dyDescent="0.35">
      <c r="A24" s="53" t="s">
        <v>271</v>
      </c>
      <c r="B24" s="53" t="s">
        <v>96</v>
      </c>
      <c r="C24" s="53" t="s">
        <v>272</v>
      </c>
      <c r="D24" s="53" t="s">
        <v>273</v>
      </c>
      <c r="E24" s="53" t="s">
        <v>274</v>
      </c>
      <c r="F24" s="53" t="s">
        <v>275</v>
      </c>
      <c r="G24" s="53" t="s">
        <v>276</v>
      </c>
      <c r="H24" s="53">
        <v>7.27</v>
      </c>
      <c r="I24" s="53">
        <v>130.69999999999999</v>
      </c>
      <c r="J24" s="53">
        <v>377</v>
      </c>
      <c r="K24" s="53">
        <v>26.33</v>
      </c>
      <c r="L24" s="53">
        <v>1.44</v>
      </c>
      <c r="M24" s="53">
        <v>189</v>
      </c>
      <c r="N24" s="53">
        <v>1.68</v>
      </c>
      <c r="O24" s="53">
        <v>2.9999999999999997E-4</v>
      </c>
      <c r="P24" s="53">
        <v>1.1200000000000001</v>
      </c>
      <c r="Q24" s="53">
        <v>0.51</v>
      </c>
      <c r="R24" s="53">
        <v>354</v>
      </c>
      <c r="S24" s="54">
        <f t="shared" si="0"/>
        <v>5.8016808485531852</v>
      </c>
      <c r="T24" s="53">
        <v>109.17</v>
      </c>
      <c r="U24" s="54">
        <f t="shared" si="1"/>
        <v>5.4478766405509251</v>
      </c>
      <c r="V24" s="53">
        <v>6.1</v>
      </c>
      <c r="W24" s="55">
        <f t="shared" si="2"/>
        <v>0.17207334273624822</v>
      </c>
      <c r="X24" s="53">
        <v>189.2</v>
      </c>
      <c r="Y24" s="54">
        <f t="shared" si="3"/>
        <v>3.9392046637518217</v>
      </c>
      <c r="Z24" s="53">
        <v>3.2800000000000002</v>
      </c>
      <c r="AA24" s="55">
        <f t="shared" si="4"/>
        <v>0.14267072640278383</v>
      </c>
      <c r="AB24" s="53">
        <v>3.48</v>
      </c>
      <c r="AC24" s="56">
        <f t="shared" si="5"/>
        <v>8.9207895411432966E-2</v>
      </c>
      <c r="AD24" s="1">
        <v>433.17</v>
      </c>
      <c r="AE24" s="57">
        <f t="shared" si="6"/>
        <v>11.104075877980007</v>
      </c>
      <c r="AF24" s="1">
        <v>1.8E-3</v>
      </c>
      <c r="AG24" s="1">
        <v>340</v>
      </c>
      <c r="AH24" s="1">
        <v>59.9</v>
      </c>
      <c r="AI24" s="1">
        <v>2.8</v>
      </c>
      <c r="AJ24" s="1">
        <v>3.0799999999999996</v>
      </c>
    </row>
    <row r="25" spans="1:36" ht="28.2" thickBot="1" x14ac:dyDescent="0.35">
      <c r="A25" s="53" t="s">
        <v>277</v>
      </c>
      <c r="B25" s="53" t="s">
        <v>278</v>
      </c>
      <c r="C25" s="53" t="s">
        <v>279</v>
      </c>
      <c r="D25" s="53" t="s">
        <v>166</v>
      </c>
      <c r="E25" s="53" t="s">
        <v>280</v>
      </c>
      <c r="F25" s="53" t="s">
        <v>281</v>
      </c>
      <c r="G25" s="53" t="s">
        <v>282</v>
      </c>
      <c r="H25" s="53">
        <v>7.17</v>
      </c>
      <c r="I25" s="53">
        <v>130.80000000000001</v>
      </c>
      <c r="J25" s="53">
        <v>319</v>
      </c>
      <c r="K25" s="53">
        <v>26.66</v>
      </c>
      <c r="L25" s="53">
        <v>1.44</v>
      </c>
      <c r="M25" s="60">
        <v>160</v>
      </c>
      <c r="N25" s="53">
        <v>1.47</v>
      </c>
      <c r="O25" s="53">
        <v>2.0000000000000001E-4</v>
      </c>
      <c r="P25" s="53">
        <v>0.84</v>
      </c>
      <c r="Q25" s="53">
        <v>1.2</v>
      </c>
      <c r="R25" s="53">
        <v>341</v>
      </c>
      <c r="S25" s="54">
        <f t="shared" si="0"/>
        <v>5.5886247721938869</v>
      </c>
      <c r="T25" s="53">
        <v>100.04</v>
      </c>
      <c r="U25" s="54">
        <f t="shared" si="1"/>
        <v>4.992265083087978</v>
      </c>
      <c r="V25" s="60">
        <v>8.3000000000000007</v>
      </c>
      <c r="W25" s="55">
        <f t="shared" si="2"/>
        <v>0.23413258110014104</v>
      </c>
      <c r="X25" s="53">
        <v>42.9</v>
      </c>
      <c r="Y25" s="54">
        <f t="shared" si="3"/>
        <v>0.89319175515302929</v>
      </c>
      <c r="Z25" s="53">
        <v>8.23</v>
      </c>
      <c r="AA25" s="55">
        <f t="shared" si="4"/>
        <v>0.35798173118747284</v>
      </c>
      <c r="AB25" s="53">
        <v>6.59</v>
      </c>
      <c r="AC25" s="56">
        <f t="shared" si="5"/>
        <v>0.16893104332222508</v>
      </c>
      <c r="AD25" s="1">
        <v>293.48</v>
      </c>
      <c r="AE25" s="57">
        <f t="shared" si="6"/>
        <v>7.5231991796975146</v>
      </c>
      <c r="AF25" s="1">
        <v>2.0999999999999999E-3</v>
      </c>
      <c r="AG25" s="1">
        <v>208</v>
      </c>
      <c r="AH25" s="1">
        <v>51.64</v>
      </c>
      <c r="AI25" s="1">
        <v>3.5999999999999996</v>
      </c>
      <c r="AJ25" s="1">
        <v>1.2799999999999998</v>
      </c>
    </row>
    <row r="26" spans="1:36" ht="15" thickBot="1" x14ac:dyDescent="0.35">
      <c r="A26" s="53" t="s">
        <v>283</v>
      </c>
      <c r="B26" s="53" t="s">
        <v>278</v>
      </c>
      <c r="C26" s="53" t="s">
        <v>284</v>
      </c>
      <c r="D26" s="53" t="s">
        <v>285</v>
      </c>
      <c r="E26" s="53" t="s">
        <v>199</v>
      </c>
      <c r="F26" s="53" t="s">
        <v>286</v>
      </c>
      <c r="G26" s="53" t="s">
        <v>287</v>
      </c>
      <c r="H26" s="53">
        <v>7.14</v>
      </c>
      <c r="I26" s="53">
        <v>130.80000000000001</v>
      </c>
      <c r="J26" s="53">
        <v>486</v>
      </c>
      <c r="K26" s="53">
        <v>26.33</v>
      </c>
      <c r="L26" s="53">
        <v>1.44</v>
      </c>
      <c r="M26" s="53">
        <v>243</v>
      </c>
      <c r="N26" s="53">
        <v>1.63</v>
      </c>
      <c r="O26" s="53">
        <v>1E-4</v>
      </c>
      <c r="P26" s="53">
        <v>0.61</v>
      </c>
      <c r="Q26" s="53">
        <v>1.64</v>
      </c>
      <c r="R26" s="53">
        <v>345</v>
      </c>
      <c r="S26" s="54">
        <f t="shared" si="0"/>
        <v>5.6541804879967481</v>
      </c>
      <c r="T26" s="53">
        <v>102.3</v>
      </c>
      <c r="U26" s="54">
        <f t="shared" si="1"/>
        <v>5.1050451619342274</v>
      </c>
      <c r="V26" s="53">
        <v>5.0999999999999996</v>
      </c>
      <c r="W26" s="55">
        <f t="shared" si="2"/>
        <v>0.14386459802538784</v>
      </c>
      <c r="X26" s="53">
        <v>62.1</v>
      </c>
      <c r="Y26" s="54">
        <f t="shared" si="3"/>
        <v>1.2929419113054341</v>
      </c>
      <c r="Z26" s="53">
        <v>7.82</v>
      </c>
      <c r="AA26" s="55">
        <f t="shared" si="4"/>
        <v>0.3401478903871249</v>
      </c>
      <c r="AB26" s="53">
        <v>2.87</v>
      </c>
      <c r="AC26" s="56">
        <f t="shared" si="5"/>
        <v>7.357087926172777E-2</v>
      </c>
      <c r="AD26" s="1">
        <v>272.95999999999998</v>
      </c>
      <c r="AE26" s="57">
        <f t="shared" si="6"/>
        <v>6.9971802102025116</v>
      </c>
      <c r="AF26" s="1">
        <v>0</v>
      </c>
      <c r="AG26" s="1">
        <v>128</v>
      </c>
      <c r="AH26" s="1">
        <v>41.1</v>
      </c>
      <c r="AI26" s="1">
        <v>4</v>
      </c>
      <c r="AJ26" s="1">
        <v>4.7800000000000011</v>
      </c>
    </row>
    <row r="27" spans="1:36" ht="28.2" thickBot="1" x14ac:dyDescent="0.35">
      <c r="A27" s="53" t="s">
        <v>288</v>
      </c>
      <c r="B27" s="53" t="s">
        <v>278</v>
      </c>
      <c r="C27" s="53" t="s">
        <v>289</v>
      </c>
      <c r="D27" s="53" t="s">
        <v>290</v>
      </c>
      <c r="E27" s="53" t="s">
        <v>291</v>
      </c>
      <c r="F27" s="53" t="s">
        <v>292</v>
      </c>
      <c r="G27" s="53" t="s">
        <v>293</v>
      </c>
      <c r="H27" s="53">
        <v>7.09</v>
      </c>
      <c r="I27" s="53">
        <v>130.80000000000001</v>
      </c>
      <c r="J27" s="53">
        <v>1092</v>
      </c>
      <c r="K27" s="53">
        <v>26.43</v>
      </c>
      <c r="L27" s="53">
        <v>1.43</v>
      </c>
      <c r="M27" s="53">
        <v>546</v>
      </c>
      <c r="N27" s="53">
        <v>0.9</v>
      </c>
      <c r="O27" s="53">
        <v>1E-4</v>
      </c>
      <c r="P27" s="53">
        <v>0.71</v>
      </c>
      <c r="Q27" s="53">
        <v>2.11</v>
      </c>
      <c r="R27" s="53">
        <v>374</v>
      </c>
      <c r="S27" s="54">
        <f t="shared" si="0"/>
        <v>6.1294594275674896</v>
      </c>
      <c r="T27" s="53">
        <v>88.77</v>
      </c>
      <c r="U27" s="54">
        <f t="shared" si="1"/>
        <v>4.4298617695493778</v>
      </c>
      <c r="V27" s="53">
        <v>6.5</v>
      </c>
      <c r="W27" s="55">
        <f t="shared" si="2"/>
        <v>0.18335684062059238</v>
      </c>
      <c r="X27" s="53">
        <v>57.4</v>
      </c>
      <c r="Y27" s="54">
        <f t="shared" si="3"/>
        <v>1.1950864043306266</v>
      </c>
      <c r="Z27" s="53">
        <v>9.74</v>
      </c>
      <c r="AA27" s="55">
        <f t="shared" si="4"/>
        <v>0.42366246193997392</v>
      </c>
      <c r="AB27" s="53">
        <v>12.95</v>
      </c>
      <c r="AC27" s="56">
        <f t="shared" si="5"/>
        <v>0.33196616252243016</v>
      </c>
      <c r="AD27" s="1">
        <v>364.97</v>
      </c>
      <c r="AE27" s="57">
        <f t="shared" si="6"/>
        <v>9.355806203537556</v>
      </c>
      <c r="AF27" s="1">
        <v>0</v>
      </c>
      <c r="AG27" s="1">
        <v>288</v>
      </c>
      <c r="AH27" s="1">
        <v>40.4</v>
      </c>
      <c r="AI27" s="1">
        <v>4.9000000000000004</v>
      </c>
      <c r="AJ27" s="1">
        <v>1.5799999999999996</v>
      </c>
    </row>
    <row r="28" spans="1:36" ht="28.2" thickBot="1" x14ac:dyDescent="0.35">
      <c r="A28" s="53" t="s">
        <v>294</v>
      </c>
      <c r="B28" s="53" t="s">
        <v>278</v>
      </c>
      <c r="C28" s="53" t="s">
        <v>59</v>
      </c>
      <c r="D28" s="53" t="s">
        <v>295</v>
      </c>
      <c r="E28" s="53" t="s">
        <v>296</v>
      </c>
      <c r="F28" s="53" t="s">
        <v>297</v>
      </c>
      <c r="G28" s="53" t="s">
        <v>298</v>
      </c>
      <c r="H28" s="53">
        <v>6.12</v>
      </c>
      <c r="I28" s="53">
        <v>130.69999999999999</v>
      </c>
      <c r="J28" s="53">
        <v>1096</v>
      </c>
      <c r="K28" s="53">
        <v>26.33</v>
      </c>
      <c r="L28" s="53">
        <v>1.44</v>
      </c>
      <c r="M28" s="53">
        <v>582</v>
      </c>
      <c r="N28" s="53">
        <v>1.32</v>
      </c>
      <c r="O28" s="53">
        <v>1E-4</v>
      </c>
      <c r="P28" s="53">
        <v>0.05</v>
      </c>
      <c r="Q28" s="53">
        <v>1.24</v>
      </c>
      <c r="R28" s="53">
        <v>440</v>
      </c>
      <c r="S28" s="54">
        <f t="shared" si="0"/>
        <v>7.2111287383146934</v>
      </c>
      <c r="T28" s="53">
        <v>94.45</v>
      </c>
      <c r="U28" s="54">
        <f t="shared" si="1"/>
        <v>4.7133090473576527</v>
      </c>
      <c r="V28" s="53">
        <v>7.4</v>
      </c>
      <c r="W28" s="55">
        <f t="shared" si="2"/>
        <v>0.20874471086036669</v>
      </c>
      <c r="X28" s="53">
        <v>69.3</v>
      </c>
      <c r="Y28" s="54">
        <f t="shared" si="3"/>
        <v>1.4428482198625858</v>
      </c>
      <c r="Z28" s="53">
        <v>2.21</v>
      </c>
      <c r="AA28" s="55">
        <f t="shared" si="4"/>
        <v>9.6128751631143983E-2</v>
      </c>
      <c r="AB28" s="53">
        <v>22.61</v>
      </c>
      <c r="AC28" s="56">
        <f t="shared" si="5"/>
        <v>0.57959497564726992</v>
      </c>
      <c r="AD28" s="1">
        <v>387.38</v>
      </c>
      <c r="AE28" s="57">
        <f t="shared" si="6"/>
        <v>9.9302742886439379</v>
      </c>
      <c r="AF28" s="1">
        <v>2.1999999999999999E-2</v>
      </c>
      <c r="AG28" s="1">
        <v>212</v>
      </c>
      <c r="AH28" s="1">
        <v>26.5</v>
      </c>
      <c r="AI28" s="1">
        <v>6.1999999999999993</v>
      </c>
      <c r="AJ28" s="1">
        <v>2.98</v>
      </c>
    </row>
    <row r="29" spans="1:36" ht="28.2" thickBot="1" x14ac:dyDescent="0.35">
      <c r="A29" s="53" t="s">
        <v>299</v>
      </c>
      <c r="B29" s="53" t="s">
        <v>278</v>
      </c>
      <c r="C29" s="53" t="s">
        <v>300</v>
      </c>
      <c r="D29" s="53" t="s">
        <v>285</v>
      </c>
      <c r="E29" s="53" t="s">
        <v>224</v>
      </c>
      <c r="F29" s="53" t="s">
        <v>301</v>
      </c>
      <c r="G29" s="53" t="s">
        <v>302</v>
      </c>
      <c r="H29" s="53">
        <v>6.32</v>
      </c>
      <c r="I29" s="53">
        <v>130.6</v>
      </c>
      <c r="J29" s="53">
        <v>537</v>
      </c>
      <c r="K29" s="53">
        <v>26.41</v>
      </c>
      <c r="L29" s="53">
        <v>1.44</v>
      </c>
      <c r="M29" s="53">
        <v>269</v>
      </c>
      <c r="N29" s="53">
        <v>1.04</v>
      </c>
      <c r="O29" s="53">
        <v>1E-4</v>
      </c>
      <c r="P29" s="53">
        <v>0</v>
      </c>
      <c r="Q29" s="53">
        <v>2.61</v>
      </c>
      <c r="R29" s="53">
        <v>160</v>
      </c>
      <c r="S29" s="54">
        <f t="shared" si="0"/>
        <v>2.6222286321144339</v>
      </c>
      <c r="T29" s="53">
        <v>50.07</v>
      </c>
      <c r="U29" s="54">
        <f t="shared" si="1"/>
        <v>2.4986276760317381</v>
      </c>
      <c r="V29" s="53">
        <v>2.6</v>
      </c>
      <c r="W29" s="55">
        <f t="shared" si="2"/>
        <v>7.334273624823695E-2</v>
      </c>
      <c r="X29" s="53">
        <v>176.3</v>
      </c>
      <c r="Y29" s="54">
        <f t="shared" si="3"/>
        <v>3.6706225275869251</v>
      </c>
      <c r="Z29" s="53">
        <v>6.73</v>
      </c>
      <c r="AA29" s="55">
        <f t="shared" si="4"/>
        <v>0.29273597216180952</v>
      </c>
      <c r="AB29" s="53">
        <v>2.87</v>
      </c>
      <c r="AC29" s="56">
        <f t="shared" si="5"/>
        <v>7.357087926172777E-2</v>
      </c>
      <c r="AD29" s="1">
        <v>267.49</v>
      </c>
      <c r="AE29" s="57">
        <f t="shared" si="6"/>
        <v>6.8569597539092548</v>
      </c>
      <c r="AF29" s="1">
        <v>1.3999999999999999E-2</v>
      </c>
      <c r="AG29" s="1">
        <v>252</v>
      </c>
      <c r="AH29" s="1">
        <v>74.900000000000006</v>
      </c>
      <c r="AI29" s="1">
        <v>3.4000000000000004</v>
      </c>
      <c r="AJ29" s="1">
        <v>4.7800000000000011</v>
      </c>
    </row>
    <row r="30" spans="1:36" ht="40.799999999999997" thickBot="1" x14ac:dyDescent="0.35">
      <c r="A30" s="53" t="s">
        <v>303</v>
      </c>
      <c r="B30" s="59" t="s">
        <v>87</v>
      </c>
      <c r="C30" s="59" t="s">
        <v>88</v>
      </c>
      <c r="D30" s="59" t="s">
        <v>79</v>
      </c>
      <c r="E30" s="59" t="s">
        <v>235</v>
      </c>
      <c r="F30" s="58" t="s">
        <v>304</v>
      </c>
      <c r="G30" s="58" t="s">
        <v>305</v>
      </c>
      <c r="H30" s="53">
        <v>6.68</v>
      </c>
      <c r="I30" s="53">
        <v>130.69999999999999</v>
      </c>
      <c r="J30" s="53">
        <v>1159</v>
      </c>
      <c r="K30" s="53">
        <v>26.49</v>
      </c>
      <c r="L30" s="53">
        <v>1.44</v>
      </c>
      <c r="M30" s="53">
        <v>582</v>
      </c>
      <c r="N30" s="53">
        <v>1.63</v>
      </c>
      <c r="O30" s="53">
        <v>2.9999999999999997E-4</v>
      </c>
      <c r="P30" s="53">
        <v>0.16</v>
      </c>
      <c r="Q30" s="53">
        <v>1.7</v>
      </c>
      <c r="R30" s="53">
        <v>244</v>
      </c>
      <c r="S30" s="54">
        <f t="shared" si="0"/>
        <v>3.9988986639745119</v>
      </c>
      <c r="T30" s="53">
        <v>90.75</v>
      </c>
      <c r="U30" s="54">
        <f t="shared" si="1"/>
        <v>4.5286690952642346</v>
      </c>
      <c r="V30" s="53">
        <v>4.9000000000000004</v>
      </c>
      <c r="W30" s="55">
        <f t="shared" si="2"/>
        <v>0.1382228490832158</v>
      </c>
      <c r="X30" s="53">
        <v>52.8</v>
      </c>
      <c r="Y30" s="54">
        <f t="shared" si="3"/>
        <v>1.0993129294191131</v>
      </c>
      <c r="Z30" s="53">
        <v>12.6</v>
      </c>
      <c r="AA30" s="55">
        <f t="shared" si="4"/>
        <v>0.54806437581557199</v>
      </c>
      <c r="AB30" s="53">
        <v>20.309999999999999</v>
      </c>
      <c r="AC30" s="56">
        <f t="shared" si="5"/>
        <v>0.52063573442707001</v>
      </c>
      <c r="AD30" s="1">
        <v>212.35</v>
      </c>
      <c r="AE30" s="57">
        <f t="shared" si="6"/>
        <v>5.4434760317867212</v>
      </c>
      <c r="AF30" s="1">
        <v>1.9E-2</v>
      </c>
      <c r="AG30" s="1">
        <v>208</v>
      </c>
      <c r="AH30" s="1">
        <v>62.3</v>
      </c>
      <c r="AI30" s="1">
        <v>5.0999999999999996</v>
      </c>
      <c r="AJ30" s="1">
        <v>1.5799999999999996</v>
      </c>
    </row>
    <row r="31" spans="1:36" ht="28.2" thickBot="1" x14ac:dyDescent="0.35">
      <c r="A31" s="53" t="s">
        <v>306</v>
      </c>
      <c r="B31" s="59" t="s">
        <v>87</v>
      </c>
      <c r="C31" s="53" t="s">
        <v>59</v>
      </c>
      <c r="D31" s="53" t="s">
        <v>249</v>
      </c>
      <c r="E31" s="59" t="s">
        <v>206</v>
      </c>
      <c r="F31" s="59" t="s">
        <v>307</v>
      </c>
      <c r="G31" s="59" t="s">
        <v>308</v>
      </c>
      <c r="H31" s="53">
        <v>6.17</v>
      </c>
      <c r="I31" s="53">
        <v>130.69999999999999</v>
      </c>
      <c r="J31" s="53">
        <v>582</v>
      </c>
      <c r="K31" s="53">
        <v>26.48</v>
      </c>
      <c r="L31" s="53">
        <v>1.44</v>
      </c>
      <c r="M31" s="53">
        <v>291</v>
      </c>
      <c r="N31" s="53">
        <v>0.2</v>
      </c>
      <c r="O31" s="53">
        <v>1E-4</v>
      </c>
      <c r="P31" s="53">
        <v>0.27</v>
      </c>
      <c r="Q31" s="53">
        <v>1.3</v>
      </c>
      <c r="R31" s="53">
        <v>427</v>
      </c>
      <c r="S31" s="54">
        <f t="shared" si="0"/>
        <v>6.9980726619553959</v>
      </c>
      <c r="T31" s="53">
        <v>85.82</v>
      </c>
      <c r="U31" s="54">
        <f t="shared" si="1"/>
        <v>4.2826488347721936</v>
      </c>
      <c r="V31" s="53">
        <v>3.8</v>
      </c>
      <c r="W31" s="55">
        <f t="shared" si="2"/>
        <v>0.10719322990126938</v>
      </c>
      <c r="X31" s="53">
        <v>65.400000000000006</v>
      </c>
      <c r="Y31" s="54">
        <f t="shared" si="3"/>
        <v>1.3616489693941287</v>
      </c>
      <c r="Z31" s="53">
        <v>11.959999999999999</v>
      </c>
      <c r="AA31" s="55">
        <f t="shared" si="4"/>
        <v>0.52022618529795561</v>
      </c>
      <c r="AB31" s="53">
        <v>2.87</v>
      </c>
      <c r="AC31" s="56">
        <f t="shared" si="5"/>
        <v>7.357087926172777E-2</v>
      </c>
      <c r="AD31" s="1">
        <v>381.38</v>
      </c>
      <c r="AE31" s="57">
        <f t="shared" si="6"/>
        <v>9.7764675724173298</v>
      </c>
      <c r="AF31" s="1">
        <v>6.0000000000000006E-4</v>
      </c>
      <c r="AG31" s="1">
        <v>112</v>
      </c>
      <c r="AH31" s="1">
        <v>79.8</v>
      </c>
      <c r="AI31" s="1">
        <v>4.0999999999999996</v>
      </c>
      <c r="AJ31" s="1">
        <v>2.98</v>
      </c>
    </row>
    <row r="32" spans="1:36" ht="28.2" thickBot="1" x14ac:dyDescent="0.35">
      <c r="A32" s="53" t="s">
        <v>309</v>
      </c>
      <c r="B32" s="53" t="s">
        <v>310</v>
      </c>
      <c r="C32" s="53" t="s">
        <v>311</v>
      </c>
      <c r="D32" s="53" t="s">
        <v>39</v>
      </c>
      <c r="E32" s="53" t="s">
        <v>312</v>
      </c>
      <c r="F32" s="59" t="s">
        <v>313</v>
      </c>
      <c r="G32" s="59" t="s">
        <v>314</v>
      </c>
      <c r="H32" s="53">
        <v>6.54</v>
      </c>
      <c r="I32" s="53">
        <v>130.6</v>
      </c>
      <c r="J32" s="53">
        <v>608</v>
      </c>
      <c r="K32" s="53">
        <v>26.48</v>
      </c>
      <c r="L32" s="53">
        <v>1.45</v>
      </c>
      <c r="M32" s="53">
        <v>304</v>
      </c>
      <c r="N32" s="53">
        <v>1.1000000000000001</v>
      </c>
      <c r="O32" s="53">
        <v>2.0000000000000001E-4</v>
      </c>
      <c r="P32" s="53">
        <v>0.13</v>
      </c>
      <c r="Q32" s="53">
        <v>0.51</v>
      </c>
      <c r="R32" s="53">
        <v>220</v>
      </c>
      <c r="S32" s="54">
        <f t="shared" si="0"/>
        <v>3.6055643691573467</v>
      </c>
      <c r="T32" s="53">
        <v>77.78</v>
      </c>
      <c r="U32" s="54">
        <f t="shared" si="1"/>
        <v>3.8814312091421725</v>
      </c>
      <c r="V32" s="53">
        <v>7.8</v>
      </c>
      <c r="W32" s="55">
        <f t="shared" si="2"/>
        <v>0.22002820874471085</v>
      </c>
      <c r="X32" s="53">
        <v>57.3</v>
      </c>
      <c r="Y32" s="54">
        <f t="shared" si="3"/>
        <v>1.1930043722673329</v>
      </c>
      <c r="Z32" s="53">
        <v>13.64</v>
      </c>
      <c r="AA32" s="55">
        <f t="shared" si="4"/>
        <v>0.59330143540669866</v>
      </c>
      <c r="AB32" s="53">
        <v>3.36</v>
      </c>
      <c r="AC32" s="56">
        <f t="shared" si="5"/>
        <v>8.6131761086900793E-2</v>
      </c>
      <c r="AD32" s="1">
        <v>183.88</v>
      </c>
      <c r="AE32" s="57">
        <f t="shared" si="6"/>
        <v>4.7136631632914643</v>
      </c>
      <c r="AF32" s="1">
        <v>5.0000000000000001E-3</v>
      </c>
      <c r="AG32" s="1">
        <v>132</v>
      </c>
      <c r="AH32" s="1">
        <v>70.7</v>
      </c>
      <c r="AI32" s="1">
        <v>6.1999999999999993</v>
      </c>
      <c r="AJ32" s="1">
        <v>3.8800000000000003</v>
      </c>
    </row>
    <row r="33" spans="1:36" ht="28.2" thickBot="1" x14ac:dyDescent="0.35">
      <c r="A33" s="53" t="s">
        <v>315</v>
      </c>
      <c r="B33" s="53" t="s">
        <v>310</v>
      </c>
      <c r="C33" s="53" t="s">
        <v>59</v>
      </c>
      <c r="D33" s="53" t="s">
        <v>249</v>
      </c>
      <c r="E33" s="53" t="s">
        <v>316</v>
      </c>
      <c r="F33" s="59" t="s">
        <v>317</v>
      </c>
      <c r="G33" s="59" t="s">
        <v>318</v>
      </c>
      <c r="H33" s="53">
        <v>6.1</v>
      </c>
      <c r="I33" s="53">
        <v>130.5</v>
      </c>
      <c r="J33" s="53">
        <v>1368</v>
      </c>
      <c r="K33" s="53">
        <v>26.47</v>
      </c>
      <c r="L33" s="53">
        <v>1.44</v>
      </c>
      <c r="M33" s="53">
        <v>685</v>
      </c>
      <c r="N33" s="53">
        <v>0.68</v>
      </c>
      <c r="O33" s="53">
        <v>2.0000000000000001E-4</v>
      </c>
      <c r="P33" s="53">
        <v>0.17</v>
      </c>
      <c r="Q33" s="53">
        <v>1.2</v>
      </c>
      <c r="R33" s="53">
        <v>258</v>
      </c>
      <c r="S33" s="54">
        <f t="shared" si="0"/>
        <v>4.2283436692845244</v>
      </c>
      <c r="T33" s="53">
        <v>96.14</v>
      </c>
      <c r="U33" s="54">
        <f t="shared" si="1"/>
        <v>4.7976445930435645</v>
      </c>
      <c r="V33" s="53">
        <v>17.899999999999999</v>
      </c>
      <c r="W33" s="55">
        <f t="shared" si="2"/>
        <v>0.50493653032440045</v>
      </c>
      <c r="X33" s="53">
        <v>58.4</v>
      </c>
      <c r="Y33" s="54">
        <f t="shared" si="3"/>
        <v>1.2159067249635644</v>
      </c>
      <c r="Z33" s="53">
        <v>18.239999999999998</v>
      </c>
      <c r="AA33" s="55">
        <f t="shared" si="4"/>
        <v>0.79338842975206614</v>
      </c>
      <c r="AB33" s="53">
        <v>3.37</v>
      </c>
      <c r="AC33" s="56">
        <f t="shared" si="5"/>
        <v>8.6388105613945151E-2</v>
      </c>
      <c r="AD33" s="1">
        <v>237.45</v>
      </c>
      <c r="AE33" s="57">
        <f t="shared" si="6"/>
        <v>6.0869007946680336</v>
      </c>
      <c r="AF33" s="1">
        <v>6.9999999999999988E-4</v>
      </c>
      <c r="AG33" s="1">
        <v>180</v>
      </c>
      <c r="AH33" s="1">
        <v>59.4</v>
      </c>
      <c r="AI33" s="1">
        <v>5.7</v>
      </c>
      <c r="AJ33" s="1">
        <v>2.5799999999999996</v>
      </c>
    </row>
    <row r="34" spans="1:36" ht="28.2" thickBot="1" x14ac:dyDescent="0.35">
      <c r="A34" s="53" t="s">
        <v>319</v>
      </c>
      <c r="B34" s="53" t="s">
        <v>310</v>
      </c>
      <c r="C34" s="53" t="s">
        <v>59</v>
      </c>
      <c r="D34" s="53" t="s">
        <v>320</v>
      </c>
      <c r="E34" s="53" t="s">
        <v>189</v>
      </c>
      <c r="F34" s="59" t="s">
        <v>321</v>
      </c>
      <c r="G34" s="59" t="s">
        <v>322</v>
      </c>
      <c r="H34" s="53">
        <v>6.28</v>
      </c>
      <c r="I34" s="53">
        <v>130.4</v>
      </c>
      <c r="J34" s="53">
        <v>999</v>
      </c>
      <c r="K34" s="53">
        <v>26.54</v>
      </c>
      <c r="L34" s="53">
        <v>1.44</v>
      </c>
      <c r="M34" s="53">
        <v>499</v>
      </c>
      <c r="N34" s="53">
        <v>1.47</v>
      </c>
      <c r="O34" s="53">
        <v>2.9999999999999997E-4</v>
      </c>
      <c r="P34" s="53">
        <v>0.10199999999999999</v>
      </c>
      <c r="Q34" s="53">
        <v>1.64</v>
      </c>
      <c r="R34" s="53">
        <v>370.14</v>
      </c>
      <c r="S34" s="54">
        <f t="shared" si="0"/>
        <v>6.0661981618177281</v>
      </c>
      <c r="T34" s="53">
        <v>101.84</v>
      </c>
      <c r="U34" s="54">
        <f t="shared" si="1"/>
        <v>5.0820899246469384</v>
      </c>
      <c r="V34" s="53">
        <v>13.4</v>
      </c>
      <c r="W34" s="55">
        <f t="shared" si="2"/>
        <v>0.37799717912552888</v>
      </c>
      <c r="X34" s="53">
        <v>115.6</v>
      </c>
      <c r="Y34" s="54">
        <f t="shared" si="3"/>
        <v>2.4068290651676034</v>
      </c>
      <c r="Z34" s="53">
        <v>15.22</v>
      </c>
      <c r="AA34" s="55">
        <f t="shared" si="4"/>
        <v>0.66202696824706397</v>
      </c>
      <c r="AB34" s="53">
        <v>3.4</v>
      </c>
      <c r="AC34" s="56">
        <f t="shared" si="5"/>
        <v>8.7157139195078184E-2</v>
      </c>
      <c r="AD34" s="1">
        <v>408.91</v>
      </c>
      <c r="AE34" s="57">
        <f t="shared" si="6"/>
        <v>10.48218405537042</v>
      </c>
      <c r="AF34" s="1">
        <v>1.8E-3</v>
      </c>
      <c r="AG34" s="1">
        <v>160</v>
      </c>
      <c r="AH34" s="1">
        <v>49.22</v>
      </c>
      <c r="AI34" s="1">
        <v>5.09</v>
      </c>
      <c r="AJ34" s="1">
        <v>4.68</v>
      </c>
    </row>
    <row r="35" spans="1:36" ht="28.2" thickBot="1" x14ac:dyDescent="0.35">
      <c r="A35" s="53" t="s">
        <v>323</v>
      </c>
      <c r="B35" s="53" t="s">
        <v>310</v>
      </c>
      <c r="C35" s="53" t="s">
        <v>324</v>
      </c>
      <c r="D35" s="53" t="s">
        <v>325</v>
      </c>
      <c r="E35" s="53" t="s">
        <v>326</v>
      </c>
      <c r="F35" s="59" t="s">
        <v>327</v>
      </c>
      <c r="G35" s="59" t="s">
        <v>328</v>
      </c>
      <c r="H35" s="53">
        <v>6.65</v>
      </c>
      <c r="I35" s="53">
        <v>130.30000000000001</v>
      </c>
      <c r="J35" s="53">
        <v>383</v>
      </c>
      <c r="K35" s="53">
        <v>26.52</v>
      </c>
      <c r="L35" s="53">
        <v>1.44</v>
      </c>
      <c r="M35" s="53">
        <v>192</v>
      </c>
      <c r="N35" s="53">
        <v>1.28</v>
      </c>
      <c r="O35" s="53">
        <v>1E-4</v>
      </c>
      <c r="P35" s="53">
        <v>0.03</v>
      </c>
      <c r="Q35" s="53">
        <v>2.11</v>
      </c>
      <c r="R35" s="53">
        <v>512</v>
      </c>
      <c r="S35" s="54">
        <f t="shared" si="0"/>
        <v>8.3911316227661885</v>
      </c>
      <c r="T35" s="53">
        <v>66.510000000000005</v>
      </c>
      <c r="U35" s="54">
        <f t="shared" si="1"/>
        <v>3.3190278956035733</v>
      </c>
      <c r="V35" s="53">
        <v>11.8</v>
      </c>
      <c r="W35" s="55">
        <f t="shared" si="2"/>
        <v>0.33286318758815231</v>
      </c>
      <c r="X35" s="53">
        <v>77.2</v>
      </c>
      <c r="Y35" s="54">
        <f t="shared" si="3"/>
        <v>1.6073287528627942</v>
      </c>
      <c r="Z35" s="53">
        <v>3.01</v>
      </c>
      <c r="AA35" s="55">
        <f t="shared" si="4"/>
        <v>0.13092648977816443</v>
      </c>
      <c r="AB35" s="53">
        <v>3.36</v>
      </c>
      <c r="AC35" s="56">
        <f t="shared" si="5"/>
        <v>8.6131761086900793E-2</v>
      </c>
      <c r="AD35" s="1">
        <v>538.03</v>
      </c>
      <c r="AE35" s="57">
        <f t="shared" si="6"/>
        <v>13.792104588567033</v>
      </c>
      <c r="AF35" s="1">
        <v>2.0999999999999999E-3</v>
      </c>
      <c r="AG35" s="1">
        <v>348</v>
      </c>
      <c r="AH35" s="1">
        <v>68.8</v>
      </c>
      <c r="AI35" s="1">
        <v>5.04</v>
      </c>
      <c r="AJ35" s="1">
        <v>4.18</v>
      </c>
    </row>
    <row r="36" spans="1:36" ht="28.2" thickBot="1" x14ac:dyDescent="0.35">
      <c r="A36" s="53" t="s">
        <v>329</v>
      </c>
      <c r="B36" s="53" t="s">
        <v>310</v>
      </c>
      <c r="C36" s="53" t="s">
        <v>59</v>
      </c>
      <c r="D36" s="53" t="s">
        <v>171</v>
      </c>
      <c r="E36" s="53" t="s">
        <v>199</v>
      </c>
      <c r="F36" s="59" t="s">
        <v>330</v>
      </c>
      <c r="G36" s="59" t="s">
        <v>331</v>
      </c>
      <c r="H36" s="53">
        <v>6.27</v>
      </c>
      <c r="I36" s="53">
        <v>130.30000000000001</v>
      </c>
      <c r="J36" s="53">
        <v>1224</v>
      </c>
      <c r="K36" s="53">
        <v>26.45</v>
      </c>
      <c r="L36" s="53">
        <v>1.45</v>
      </c>
      <c r="M36" s="53">
        <v>612</v>
      </c>
      <c r="N36" s="53">
        <v>1.58</v>
      </c>
      <c r="O36" s="53">
        <v>2.9999999999999997E-4</v>
      </c>
      <c r="P36" s="53">
        <v>0.15</v>
      </c>
      <c r="Q36" s="53">
        <v>3.61</v>
      </c>
      <c r="R36" s="53">
        <v>180</v>
      </c>
      <c r="S36" s="54">
        <f t="shared" si="0"/>
        <v>2.9500072111287383</v>
      </c>
      <c r="T36" s="53">
        <v>84.5</v>
      </c>
      <c r="U36" s="54">
        <f t="shared" si="1"/>
        <v>4.216777284295623</v>
      </c>
      <c r="V36" s="53">
        <v>17.399999999999999</v>
      </c>
      <c r="W36" s="55">
        <f t="shared" si="2"/>
        <v>0.49083215796897028</v>
      </c>
      <c r="X36" s="53">
        <v>167.4</v>
      </c>
      <c r="Y36" s="54">
        <f t="shared" si="3"/>
        <v>3.4853216739537789</v>
      </c>
      <c r="Z36" s="53">
        <v>1.37</v>
      </c>
      <c r="AA36" s="55">
        <f t="shared" si="4"/>
        <v>5.959112657677252E-2</v>
      </c>
      <c r="AB36" s="53">
        <v>3.38</v>
      </c>
      <c r="AC36" s="56">
        <f t="shared" si="5"/>
        <v>8.6644450140989496E-2</v>
      </c>
      <c r="AD36" s="1">
        <v>258.37</v>
      </c>
      <c r="AE36" s="57">
        <f t="shared" si="6"/>
        <v>6.6231735452448097</v>
      </c>
      <c r="AF36" s="1">
        <v>0</v>
      </c>
      <c r="AG36" s="1">
        <v>184</v>
      </c>
      <c r="AH36" s="1">
        <v>59.9</v>
      </c>
      <c r="AI36" s="1">
        <v>4.99</v>
      </c>
      <c r="AJ36" s="1">
        <v>1.3800000000000003</v>
      </c>
    </row>
    <row r="37" spans="1:36" ht="28.2" thickBot="1" x14ac:dyDescent="0.35">
      <c r="A37" s="53" t="s">
        <v>332</v>
      </c>
      <c r="B37" s="53" t="s">
        <v>310</v>
      </c>
      <c r="C37" s="53" t="s">
        <v>59</v>
      </c>
      <c r="D37" s="53" t="s">
        <v>133</v>
      </c>
      <c r="E37" s="53" t="s">
        <v>333</v>
      </c>
      <c r="F37" s="59" t="s">
        <v>334</v>
      </c>
      <c r="G37" s="59" t="s">
        <v>335</v>
      </c>
      <c r="H37" s="53">
        <v>6.61</v>
      </c>
      <c r="I37" s="53">
        <v>130.30000000000001</v>
      </c>
      <c r="J37" s="53">
        <v>883</v>
      </c>
      <c r="K37" s="53">
        <v>26.4</v>
      </c>
      <c r="L37" s="53">
        <v>1.44</v>
      </c>
      <c r="M37" s="53">
        <v>441</v>
      </c>
      <c r="N37" s="53">
        <v>0.78</v>
      </c>
      <c r="O37" s="53">
        <v>6.9999999999999999E-4</v>
      </c>
      <c r="P37" s="53">
        <v>0.84</v>
      </c>
      <c r="Q37" s="53">
        <v>0.84</v>
      </c>
      <c r="R37" s="53">
        <v>200</v>
      </c>
      <c r="S37" s="54">
        <f t="shared" si="0"/>
        <v>3.2777857901430423</v>
      </c>
      <c r="T37" s="53">
        <v>69.41</v>
      </c>
      <c r="U37" s="54">
        <f t="shared" si="1"/>
        <v>3.4637456958930084</v>
      </c>
      <c r="V37" s="53">
        <v>6</v>
      </c>
      <c r="W37" s="55">
        <f t="shared" si="2"/>
        <v>0.16925246826516219</v>
      </c>
      <c r="X37" s="53">
        <v>97.5</v>
      </c>
      <c r="Y37" s="54">
        <f t="shared" si="3"/>
        <v>2.0299812617114301</v>
      </c>
      <c r="Z37" s="53">
        <v>4.6100000000000003</v>
      </c>
      <c r="AA37" s="55">
        <f t="shared" si="4"/>
        <v>0.20052196607220532</v>
      </c>
      <c r="AB37" s="53">
        <v>3.35</v>
      </c>
      <c r="AC37" s="56">
        <f t="shared" si="5"/>
        <v>8.5875416559856449E-2</v>
      </c>
      <c r="AD37" s="1">
        <v>217.43</v>
      </c>
      <c r="AE37" s="57">
        <f t="shared" si="6"/>
        <v>5.5736990515252502</v>
      </c>
      <c r="AF37" s="1">
        <v>0</v>
      </c>
      <c r="AG37" s="1">
        <v>288</v>
      </c>
      <c r="AH37" s="1">
        <v>51.64</v>
      </c>
      <c r="AI37" s="1">
        <v>4.97</v>
      </c>
      <c r="AJ37" s="1">
        <v>3.0799999999999996</v>
      </c>
    </row>
    <row r="38" spans="1:36" ht="28.2" thickBot="1" x14ac:dyDescent="0.35">
      <c r="A38" s="53" t="s">
        <v>336</v>
      </c>
      <c r="B38" s="53" t="s">
        <v>337</v>
      </c>
      <c r="C38" s="53" t="s">
        <v>59</v>
      </c>
      <c r="D38" s="59" t="s">
        <v>73</v>
      </c>
      <c r="E38" s="59" t="s">
        <v>338</v>
      </c>
      <c r="F38" s="59" t="s">
        <v>339</v>
      </c>
      <c r="G38" s="59" t="s">
        <v>340</v>
      </c>
      <c r="H38" s="53">
        <v>6.87</v>
      </c>
      <c r="I38" s="53">
        <v>130.19999999999999</v>
      </c>
      <c r="J38" s="53">
        <v>1209</v>
      </c>
      <c r="K38" s="53">
        <v>26.52</v>
      </c>
      <c r="L38" s="53">
        <v>1.45</v>
      </c>
      <c r="M38" s="53">
        <v>604</v>
      </c>
      <c r="N38" s="53">
        <v>1.22</v>
      </c>
      <c r="O38" s="53">
        <v>2.0000000000000001E-4</v>
      </c>
      <c r="P38" s="53">
        <v>0.31</v>
      </c>
      <c r="Q38" s="53">
        <v>1.3</v>
      </c>
      <c r="R38" s="53">
        <v>295</v>
      </c>
      <c r="S38" s="54">
        <f t="shared" si="0"/>
        <v>4.8347340404609875</v>
      </c>
      <c r="T38" s="53">
        <v>232.76</v>
      </c>
      <c r="U38" s="54">
        <f t="shared" si="1"/>
        <v>11.615350067368629</v>
      </c>
      <c r="V38" s="53">
        <v>17.2</v>
      </c>
      <c r="W38" s="55">
        <f t="shared" si="2"/>
        <v>0.48519040902679827</v>
      </c>
      <c r="X38" s="53">
        <v>52.9</v>
      </c>
      <c r="Y38" s="54">
        <f t="shared" si="3"/>
        <v>1.1013949614824068</v>
      </c>
      <c r="Z38" s="53">
        <v>2.4300000000000002</v>
      </c>
      <c r="AA38" s="55">
        <f t="shared" si="4"/>
        <v>0.10569812962157461</v>
      </c>
      <c r="AB38" s="53">
        <v>3.37</v>
      </c>
      <c r="AC38" s="56">
        <f t="shared" si="5"/>
        <v>8.6388105613945151E-2</v>
      </c>
      <c r="AD38" s="1">
        <v>154.35</v>
      </c>
      <c r="AE38" s="57">
        <f t="shared" si="6"/>
        <v>3.9566777749295055</v>
      </c>
      <c r="AF38" s="1">
        <v>2.1999999999999999E-2</v>
      </c>
      <c r="AG38" s="1">
        <v>328</v>
      </c>
      <c r="AH38" s="1">
        <v>41.1</v>
      </c>
      <c r="AI38" s="1">
        <v>4.9000000000000004</v>
      </c>
      <c r="AJ38" s="1">
        <v>1.2799999999999998</v>
      </c>
    </row>
    <row r="39" spans="1:36" ht="28.2" thickBot="1" x14ac:dyDescent="0.35">
      <c r="A39" s="53" t="s">
        <v>341</v>
      </c>
      <c r="B39" s="53" t="s">
        <v>337</v>
      </c>
      <c r="C39" s="53" t="s">
        <v>59</v>
      </c>
      <c r="D39" s="59" t="s">
        <v>76</v>
      </c>
      <c r="E39" s="59" t="s">
        <v>235</v>
      </c>
      <c r="F39" s="59" t="s">
        <v>342</v>
      </c>
      <c r="G39" s="59" t="s">
        <v>343</v>
      </c>
      <c r="H39" s="53">
        <v>7.03</v>
      </c>
      <c r="I39" s="53">
        <v>130.1</v>
      </c>
      <c r="J39" s="53">
        <v>254</v>
      </c>
      <c r="K39" s="53">
        <v>26.48</v>
      </c>
      <c r="L39" s="53">
        <v>1.45</v>
      </c>
      <c r="M39" s="53">
        <v>127</v>
      </c>
      <c r="N39" s="53">
        <v>1.4</v>
      </c>
      <c r="O39" s="53">
        <v>1E-4</v>
      </c>
      <c r="P39" s="53">
        <v>0.22</v>
      </c>
      <c r="Q39" s="53">
        <v>1.1200000000000001</v>
      </c>
      <c r="R39" s="53">
        <v>386</v>
      </c>
      <c r="S39" s="54">
        <f t="shared" si="0"/>
        <v>6.3261265749760716</v>
      </c>
      <c r="T39" s="53">
        <v>113.87</v>
      </c>
      <c r="U39" s="54">
        <f t="shared" si="1"/>
        <v>5.6824192823993211</v>
      </c>
      <c r="V39" s="53">
        <v>13.4</v>
      </c>
      <c r="W39" s="55">
        <f t="shared" si="2"/>
        <v>0.37799717912552888</v>
      </c>
      <c r="X39" s="53">
        <v>154.19999999999999</v>
      </c>
      <c r="Y39" s="54">
        <f t="shared" si="3"/>
        <v>3.2104934415990005</v>
      </c>
      <c r="Z39" s="53">
        <v>4.0600000000000005</v>
      </c>
      <c r="AA39" s="55">
        <f t="shared" si="4"/>
        <v>0.17659852109612878</v>
      </c>
      <c r="AB39" s="53">
        <v>41.47</v>
      </c>
      <c r="AC39" s="56">
        <f t="shared" si="5"/>
        <v>1.0630607536529095</v>
      </c>
      <c r="AD39" s="1">
        <v>339.46</v>
      </c>
      <c r="AE39" s="57">
        <f t="shared" si="6"/>
        <v>8.7018713150474234</v>
      </c>
      <c r="AF39" s="1">
        <v>1.3999999999999999E-2</v>
      </c>
      <c r="AG39" s="1">
        <v>280</v>
      </c>
      <c r="AH39" s="1">
        <v>40.4</v>
      </c>
      <c r="AI39" s="1">
        <v>4.8499999999999996</v>
      </c>
      <c r="AJ39" s="1">
        <v>4.18</v>
      </c>
    </row>
    <row r="40" spans="1:36" ht="28.2" thickBot="1" x14ac:dyDescent="0.35">
      <c r="A40" s="53" t="s">
        <v>344</v>
      </c>
      <c r="B40" s="53" t="s">
        <v>345</v>
      </c>
      <c r="C40" s="53" t="s">
        <v>59</v>
      </c>
      <c r="D40" s="59" t="s">
        <v>73</v>
      </c>
      <c r="E40" s="59" t="s">
        <v>346</v>
      </c>
      <c r="F40" s="59" t="s">
        <v>347</v>
      </c>
      <c r="G40" s="59" t="s">
        <v>348</v>
      </c>
      <c r="H40" s="53">
        <v>7.16</v>
      </c>
      <c r="I40" s="53">
        <v>130</v>
      </c>
      <c r="J40" s="53">
        <v>1244</v>
      </c>
      <c r="K40" s="53">
        <v>26.53</v>
      </c>
      <c r="L40" s="53">
        <v>1.44</v>
      </c>
      <c r="M40" s="53">
        <v>622</v>
      </c>
      <c r="N40" s="53">
        <v>0.51</v>
      </c>
      <c r="O40" s="53">
        <v>2.9999999999999997E-4</v>
      </c>
      <c r="P40" s="53">
        <v>0.16</v>
      </c>
      <c r="Q40" s="53">
        <v>0.84</v>
      </c>
      <c r="R40" s="53">
        <v>572</v>
      </c>
      <c r="S40" s="54">
        <f t="shared" si="0"/>
        <v>9.3744673598091008</v>
      </c>
      <c r="T40" s="53">
        <v>270.12</v>
      </c>
      <c r="U40" s="54">
        <f t="shared" si="1"/>
        <v>13.479714556614601</v>
      </c>
      <c r="V40" s="53">
        <v>12.4</v>
      </c>
      <c r="W40" s="55">
        <f t="shared" si="2"/>
        <v>0.3497884344146685</v>
      </c>
      <c r="X40" s="53">
        <v>57.9</v>
      </c>
      <c r="Y40" s="54">
        <f t="shared" si="3"/>
        <v>1.2054965646470954</v>
      </c>
      <c r="Z40" s="53">
        <v>5.16</v>
      </c>
      <c r="AA40" s="55">
        <f t="shared" si="4"/>
        <v>0.22444541104828189</v>
      </c>
      <c r="AB40" s="53">
        <v>19.28</v>
      </c>
      <c r="AC40" s="56">
        <f t="shared" si="5"/>
        <v>0.49423224814150224</v>
      </c>
      <c r="AD40" s="1">
        <v>336.78</v>
      </c>
      <c r="AE40" s="57">
        <f t="shared" si="6"/>
        <v>8.6331709817995375</v>
      </c>
      <c r="AF40" s="1">
        <v>1.9E-2</v>
      </c>
      <c r="AG40" s="1">
        <v>168</v>
      </c>
      <c r="AH40" s="1">
        <v>26.5</v>
      </c>
      <c r="AI40" s="1">
        <v>5.25</v>
      </c>
      <c r="AJ40" s="1">
        <v>1.3800000000000003</v>
      </c>
    </row>
    <row r="41" spans="1:36" ht="28.2" thickBot="1" x14ac:dyDescent="0.35">
      <c r="A41" s="53" t="s">
        <v>349</v>
      </c>
      <c r="B41" s="53" t="s">
        <v>345</v>
      </c>
      <c r="C41" s="53" t="s">
        <v>59</v>
      </c>
      <c r="D41" s="59" t="s">
        <v>350</v>
      </c>
      <c r="E41" s="59" t="s">
        <v>199</v>
      </c>
      <c r="F41" s="59" t="s">
        <v>351</v>
      </c>
      <c r="G41" s="59" t="s">
        <v>352</v>
      </c>
      <c r="H41" s="53">
        <v>7.21</v>
      </c>
      <c r="I41" s="53">
        <v>129.9</v>
      </c>
      <c r="J41" s="53">
        <v>1122</v>
      </c>
      <c r="K41" s="53">
        <v>26.49</v>
      </c>
      <c r="L41" s="53">
        <v>1.44</v>
      </c>
      <c r="M41" s="53">
        <v>561</v>
      </c>
      <c r="N41" s="53">
        <v>1.0900000000000001</v>
      </c>
      <c r="O41" s="53">
        <v>1E-4</v>
      </c>
      <c r="P41" s="53">
        <v>0.84</v>
      </c>
      <c r="Q41" s="53">
        <v>0.61</v>
      </c>
      <c r="R41" s="53">
        <v>744</v>
      </c>
      <c r="S41" s="54">
        <f t="shared" si="0"/>
        <v>12.193363139332117</v>
      </c>
      <c r="T41" s="53">
        <v>117.14</v>
      </c>
      <c r="U41" s="54">
        <f t="shared" si="1"/>
        <v>5.845601077898098</v>
      </c>
      <c r="V41" s="53">
        <v>12.2</v>
      </c>
      <c r="W41" s="55">
        <f t="shared" si="2"/>
        <v>0.34414668547249644</v>
      </c>
      <c r="X41" s="53">
        <v>64.900000000000006</v>
      </c>
      <c r="Y41" s="54">
        <f t="shared" si="3"/>
        <v>1.3512388090776599</v>
      </c>
      <c r="Z41" s="53">
        <v>7.48</v>
      </c>
      <c r="AA41" s="55">
        <f t="shared" si="4"/>
        <v>0.32535885167464118</v>
      </c>
      <c r="AB41" s="53">
        <v>3.43</v>
      </c>
      <c r="AC41" s="56">
        <f t="shared" si="5"/>
        <v>8.7926172776211231E-2</v>
      </c>
      <c r="AD41" s="1">
        <v>713.37</v>
      </c>
      <c r="AE41" s="57">
        <f t="shared" si="6"/>
        <v>18.286849525762626</v>
      </c>
      <c r="AF41" s="1">
        <v>6.0000000000000006E-4</v>
      </c>
      <c r="AG41" s="1">
        <v>228</v>
      </c>
      <c r="AH41" s="1">
        <v>83.5</v>
      </c>
      <c r="AI41" s="1">
        <v>5.26</v>
      </c>
      <c r="AJ41" s="1">
        <v>3.0799999999999996</v>
      </c>
    </row>
    <row r="42" spans="1:36" ht="28.2" thickBot="1" x14ac:dyDescent="0.35">
      <c r="A42" s="53" t="s">
        <v>353</v>
      </c>
      <c r="B42" s="53" t="s">
        <v>345</v>
      </c>
      <c r="C42" s="53" t="s">
        <v>354</v>
      </c>
      <c r="D42" s="59" t="s">
        <v>355</v>
      </c>
      <c r="E42" s="59" t="s">
        <v>254</v>
      </c>
      <c r="F42" s="59" t="s">
        <v>356</v>
      </c>
      <c r="G42" s="59" t="s">
        <v>357</v>
      </c>
      <c r="H42" s="53">
        <v>6.31</v>
      </c>
      <c r="I42" s="53">
        <v>129.9</v>
      </c>
      <c r="J42" s="53">
        <v>1550</v>
      </c>
      <c r="K42" s="53">
        <v>26.48</v>
      </c>
      <c r="L42" s="53">
        <v>1.45</v>
      </c>
      <c r="M42" s="53">
        <v>776</v>
      </c>
      <c r="N42" s="53">
        <v>1.54</v>
      </c>
      <c r="O42" s="53">
        <v>1E-4</v>
      </c>
      <c r="P42" s="53">
        <v>1.3</v>
      </c>
      <c r="Q42" s="53">
        <v>0.71</v>
      </c>
      <c r="R42" s="53">
        <v>403</v>
      </c>
      <c r="S42" s="54">
        <f t="shared" si="0"/>
        <v>6.6047383671382303</v>
      </c>
      <c r="T42" s="53">
        <v>116.38</v>
      </c>
      <c r="U42" s="54">
        <f t="shared" si="1"/>
        <v>5.8076750336843146</v>
      </c>
      <c r="V42" s="53">
        <v>8.1999999999999993</v>
      </c>
      <c r="W42" s="55">
        <f t="shared" si="2"/>
        <v>0.23131170662905498</v>
      </c>
      <c r="X42" s="53">
        <v>77.599999999999994</v>
      </c>
      <c r="Y42" s="54">
        <f t="shared" si="3"/>
        <v>1.6156568811159691</v>
      </c>
      <c r="Z42" s="53">
        <v>21.77</v>
      </c>
      <c r="AA42" s="55">
        <f t="shared" si="4"/>
        <v>0.94693344932579382</v>
      </c>
      <c r="AB42" s="53">
        <v>3.37</v>
      </c>
      <c r="AC42" s="56">
        <f t="shared" si="5"/>
        <v>8.6388105613945151E-2</v>
      </c>
      <c r="AD42" s="1">
        <v>356.83</v>
      </c>
      <c r="AE42" s="57">
        <f t="shared" si="6"/>
        <v>9.1471417585234551</v>
      </c>
      <c r="AF42" s="1">
        <v>5.0000000000000001E-3</v>
      </c>
      <c r="AG42" s="1">
        <v>348</v>
      </c>
      <c r="AH42" s="1">
        <v>74.900000000000006</v>
      </c>
      <c r="AI42" s="1">
        <v>5.19</v>
      </c>
      <c r="AJ42" s="1">
        <v>1.2799999999999998</v>
      </c>
    </row>
    <row r="43" spans="1:36" ht="28.2" thickBot="1" x14ac:dyDescent="0.35">
      <c r="A43" s="53" t="s">
        <v>358</v>
      </c>
      <c r="B43" s="53" t="s">
        <v>345</v>
      </c>
      <c r="C43" s="53" t="s">
        <v>359</v>
      </c>
      <c r="D43" s="59" t="s">
        <v>360</v>
      </c>
      <c r="E43" s="59" t="s">
        <v>361</v>
      </c>
      <c r="F43" s="59" t="s">
        <v>362</v>
      </c>
      <c r="G43" s="59" t="s">
        <v>363</v>
      </c>
      <c r="H43" s="53">
        <v>6.67</v>
      </c>
      <c r="I43" s="53">
        <v>129.9</v>
      </c>
      <c r="J43" s="53">
        <v>1072</v>
      </c>
      <c r="K43" s="53">
        <v>26.48</v>
      </c>
      <c r="L43" s="53">
        <v>1.46</v>
      </c>
      <c r="M43" s="53">
        <v>537</v>
      </c>
      <c r="N43" s="53">
        <v>0.43</v>
      </c>
      <c r="O43" s="53">
        <v>2.9999999999999997E-4</v>
      </c>
      <c r="P43" s="53">
        <v>1.1200000000000001</v>
      </c>
      <c r="Q43" s="53">
        <v>1.3</v>
      </c>
      <c r="R43" s="53">
        <v>331</v>
      </c>
      <c r="S43" s="54">
        <f t="shared" si="0"/>
        <v>5.4247354826867351</v>
      </c>
      <c r="T43" s="53">
        <v>119.4</v>
      </c>
      <c r="U43" s="54">
        <f t="shared" si="1"/>
        <v>5.9583811567443483</v>
      </c>
      <c r="V43" s="53">
        <v>12.3</v>
      </c>
      <c r="W43" s="55">
        <f t="shared" si="2"/>
        <v>0.34696755994358253</v>
      </c>
      <c r="X43" s="53">
        <v>89.2</v>
      </c>
      <c r="Y43" s="54">
        <f t="shared" si="3"/>
        <v>1.8571726004580471</v>
      </c>
      <c r="Z43" s="53">
        <v>2.9</v>
      </c>
      <c r="AA43" s="55">
        <f t="shared" si="4"/>
        <v>0.12614180078294912</v>
      </c>
      <c r="AB43" s="53">
        <v>10.32</v>
      </c>
      <c r="AC43" s="56">
        <f t="shared" si="5"/>
        <v>0.26454755190976675</v>
      </c>
      <c r="AD43" s="1">
        <v>324.62</v>
      </c>
      <c r="AE43" s="57">
        <f t="shared" si="6"/>
        <v>8.321456036913613</v>
      </c>
      <c r="AF43" s="1">
        <v>6.9999999999999988E-4</v>
      </c>
      <c r="AG43" s="1">
        <v>168</v>
      </c>
      <c r="AH43" s="1">
        <v>66.8</v>
      </c>
      <c r="AI43" s="1">
        <v>4.3</v>
      </c>
      <c r="AJ43" s="1">
        <v>4.7800000000000011</v>
      </c>
    </row>
    <row r="44" spans="1:36" ht="28.2" thickBot="1" x14ac:dyDescent="0.35">
      <c r="A44" s="53" t="s">
        <v>364</v>
      </c>
      <c r="B44" s="53" t="s">
        <v>365</v>
      </c>
      <c r="C44" s="53" t="s">
        <v>59</v>
      </c>
      <c r="D44" s="59" t="s">
        <v>366</v>
      </c>
      <c r="E44" s="59" t="s">
        <v>367</v>
      </c>
      <c r="F44" s="59">
        <v>17.154527999999999</v>
      </c>
      <c r="G44" s="59" t="s">
        <v>368</v>
      </c>
      <c r="H44" s="53">
        <v>6.27</v>
      </c>
      <c r="I44" s="53">
        <v>130.30000000000001</v>
      </c>
      <c r="J44" s="53">
        <v>1074</v>
      </c>
      <c r="K44" s="53">
        <v>26.49</v>
      </c>
      <c r="L44" s="53">
        <v>1.47</v>
      </c>
      <c r="M44" s="53">
        <v>540</v>
      </c>
      <c r="N44" s="53">
        <v>0.92</v>
      </c>
      <c r="O44" s="53">
        <v>2.0000000000000001E-4</v>
      </c>
      <c r="P44" s="53">
        <v>0.84</v>
      </c>
      <c r="Q44" s="53">
        <v>0.51</v>
      </c>
      <c r="R44" s="53">
        <v>460</v>
      </c>
      <c r="S44" s="54">
        <f t="shared" si="0"/>
        <v>7.5389073173289978</v>
      </c>
      <c r="T44" s="53">
        <v>135.06</v>
      </c>
      <c r="U44" s="54">
        <f t="shared" si="1"/>
        <v>6.7398572783073005</v>
      </c>
      <c r="V44" s="53">
        <v>14.3</v>
      </c>
      <c r="W44" s="55">
        <f t="shared" si="2"/>
        <v>0.40338504936530323</v>
      </c>
      <c r="X44" s="53">
        <v>67.2</v>
      </c>
      <c r="Y44" s="54">
        <f t="shared" si="3"/>
        <v>1.3991255465334167</v>
      </c>
      <c r="Z44" s="53">
        <v>17.190000000000001</v>
      </c>
      <c r="AA44" s="55">
        <f t="shared" si="4"/>
        <v>0.74771639843410187</v>
      </c>
      <c r="AB44" s="53">
        <v>10.06</v>
      </c>
      <c r="AC44" s="56">
        <f t="shared" si="5"/>
        <v>0.25788259420661369</v>
      </c>
      <c r="AD44" s="1">
        <v>397.73</v>
      </c>
      <c r="AE44" s="57">
        <f t="shared" si="6"/>
        <v>10.195590874134838</v>
      </c>
      <c r="AF44" s="1">
        <v>1.8E-3</v>
      </c>
      <c r="AG44" s="1">
        <v>240</v>
      </c>
      <c r="AH44" s="1">
        <v>52.1</v>
      </c>
      <c r="AI44" s="1">
        <v>7.1999999999999993</v>
      </c>
      <c r="AJ44" s="1">
        <v>1.5799999999999996</v>
      </c>
    </row>
    <row r="45" spans="1:36" ht="28.2" thickBot="1" x14ac:dyDescent="0.35">
      <c r="A45" s="53" t="s">
        <v>369</v>
      </c>
      <c r="B45" s="53" t="s">
        <v>141</v>
      </c>
      <c r="C45" s="53" t="s">
        <v>370</v>
      </c>
      <c r="D45" s="53" t="s">
        <v>73</v>
      </c>
      <c r="E45" s="53" t="s">
        <v>224</v>
      </c>
      <c r="F45" s="61" t="s">
        <v>371</v>
      </c>
      <c r="G45" s="61" t="s">
        <v>372</v>
      </c>
      <c r="H45" s="53">
        <v>7.18</v>
      </c>
      <c r="I45" s="53">
        <v>132</v>
      </c>
      <c r="J45" s="53">
        <v>883</v>
      </c>
      <c r="K45" s="53">
        <v>26.3</v>
      </c>
      <c r="L45" s="53">
        <v>1.44</v>
      </c>
      <c r="M45" s="53">
        <v>441</v>
      </c>
      <c r="N45" s="53">
        <v>0.88</v>
      </c>
      <c r="O45" s="53">
        <v>1E-4</v>
      </c>
      <c r="P45" s="53">
        <v>0.61</v>
      </c>
      <c r="Q45" s="53">
        <v>1.4</v>
      </c>
      <c r="R45" s="53">
        <v>343</v>
      </c>
      <c r="S45" s="54">
        <f t="shared" si="0"/>
        <v>5.6214026300953179</v>
      </c>
      <c r="T45" s="53">
        <v>97.06</v>
      </c>
      <c r="U45" s="54">
        <f t="shared" si="1"/>
        <v>4.8435550676181442</v>
      </c>
      <c r="V45" s="53">
        <v>12.3</v>
      </c>
      <c r="W45" s="55">
        <f t="shared" si="2"/>
        <v>0.34696755994358253</v>
      </c>
      <c r="X45" s="53">
        <v>95.7</v>
      </c>
      <c r="Y45" s="54">
        <f t="shared" si="3"/>
        <v>1.9925046845721424</v>
      </c>
      <c r="Z45" s="53">
        <v>2.0499999999999998</v>
      </c>
      <c r="AA45" s="55">
        <f t="shared" si="4"/>
        <v>8.9169204001739888E-2</v>
      </c>
      <c r="AB45" s="53">
        <v>10.029999999999999</v>
      </c>
      <c r="AC45" s="56">
        <f t="shared" si="5"/>
        <v>0.25711356062548063</v>
      </c>
      <c r="AD45" s="1">
        <v>375.7</v>
      </c>
      <c r="AE45" s="57">
        <f t="shared" si="6"/>
        <v>9.6308638810561398</v>
      </c>
      <c r="AF45" s="1">
        <v>0</v>
      </c>
      <c r="AG45" s="1">
        <v>140</v>
      </c>
      <c r="AH45" s="1">
        <v>43.4</v>
      </c>
      <c r="AI45" s="1">
        <v>4.7</v>
      </c>
      <c r="AJ45" s="1">
        <v>2.98</v>
      </c>
    </row>
    <row r="46" spans="1:36" ht="28.2" thickBot="1" x14ac:dyDescent="0.35">
      <c r="A46" s="53" t="s">
        <v>373</v>
      </c>
      <c r="B46" s="53" t="s">
        <v>141</v>
      </c>
      <c r="C46" s="53" t="s">
        <v>374</v>
      </c>
      <c r="D46" s="53" t="s">
        <v>375</v>
      </c>
      <c r="E46" s="53" t="s">
        <v>244</v>
      </c>
      <c r="F46" s="62" t="s">
        <v>376</v>
      </c>
      <c r="G46" s="63" t="s">
        <v>377</v>
      </c>
      <c r="H46" s="53">
        <v>7.61</v>
      </c>
      <c r="I46" s="53">
        <v>128</v>
      </c>
      <c r="J46" s="53">
        <v>1209</v>
      </c>
      <c r="K46" s="53">
        <v>26.52</v>
      </c>
      <c r="L46" s="53">
        <v>1.44</v>
      </c>
      <c r="M46" s="53">
        <v>604</v>
      </c>
      <c r="N46" s="53">
        <v>0.89</v>
      </c>
      <c r="O46" s="53">
        <v>1E-4</v>
      </c>
      <c r="P46" s="53">
        <v>0.71</v>
      </c>
      <c r="Q46" s="53">
        <v>1.03</v>
      </c>
      <c r="R46" s="53">
        <v>360</v>
      </c>
      <c r="S46" s="54">
        <f t="shared" si="0"/>
        <v>5.9000144222574766</v>
      </c>
      <c r="T46" s="53">
        <v>73.86</v>
      </c>
      <c r="U46" s="54">
        <f t="shared" si="1"/>
        <v>3.6858126653026595</v>
      </c>
      <c r="V46" s="53">
        <v>17.600000000000001</v>
      </c>
      <c r="W46" s="55">
        <f t="shared" si="2"/>
        <v>0.49647390691114246</v>
      </c>
      <c r="X46" s="53">
        <v>89.2</v>
      </c>
      <c r="Y46" s="54">
        <f t="shared" si="3"/>
        <v>1.8571726004580471</v>
      </c>
      <c r="Z46" s="53">
        <v>20.51</v>
      </c>
      <c r="AA46" s="55">
        <f t="shared" si="4"/>
        <v>0.89212701174423681</v>
      </c>
      <c r="AB46" s="53">
        <v>12.46</v>
      </c>
      <c r="AC46" s="56">
        <f t="shared" si="5"/>
        <v>0.31940528069725715</v>
      </c>
      <c r="AD46" s="1">
        <v>356.08</v>
      </c>
      <c r="AE46" s="57">
        <f t="shared" si="6"/>
        <v>9.1279159189951287</v>
      </c>
      <c r="AF46" s="1">
        <v>0</v>
      </c>
      <c r="AG46" s="1">
        <v>340</v>
      </c>
      <c r="AH46" s="1">
        <v>74.900000000000006</v>
      </c>
      <c r="AI46" s="1">
        <v>5.7</v>
      </c>
      <c r="AJ46" s="1">
        <v>3.8800000000000003</v>
      </c>
    </row>
    <row r="47" spans="1:36" ht="28.2" thickBot="1" x14ac:dyDescent="0.35">
      <c r="A47" s="53" t="s">
        <v>378</v>
      </c>
      <c r="B47" s="53" t="s">
        <v>141</v>
      </c>
      <c r="C47" s="53" t="s">
        <v>379</v>
      </c>
      <c r="D47" s="53" t="s">
        <v>380</v>
      </c>
      <c r="E47" s="53" t="s">
        <v>333</v>
      </c>
      <c r="F47" s="61" t="s">
        <v>381</v>
      </c>
      <c r="G47" s="61" t="s">
        <v>382</v>
      </c>
      <c r="H47" s="53">
        <v>6.49</v>
      </c>
      <c r="I47" s="53">
        <v>129.80000000000001</v>
      </c>
      <c r="J47" s="53">
        <v>1074</v>
      </c>
      <c r="K47" s="53">
        <v>26.42</v>
      </c>
      <c r="L47" s="53">
        <v>1.44</v>
      </c>
      <c r="M47" s="53">
        <v>540</v>
      </c>
      <c r="N47" s="53">
        <v>1.5</v>
      </c>
      <c r="O47" s="53">
        <v>1E-4</v>
      </c>
      <c r="P47" s="53">
        <v>0.27</v>
      </c>
      <c r="Q47" s="53">
        <v>1.8</v>
      </c>
      <c r="R47" s="53">
        <v>226</v>
      </c>
      <c r="S47" s="54">
        <f t="shared" si="0"/>
        <v>3.7038979428616381</v>
      </c>
      <c r="T47" s="53">
        <v>52.13</v>
      </c>
      <c r="U47" s="54">
        <f t="shared" si="1"/>
        <v>2.6014272169269921</v>
      </c>
      <c r="V47" s="53">
        <v>16.399999999999999</v>
      </c>
      <c r="W47" s="55">
        <f t="shared" si="2"/>
        <v>0.46262341325810996</v>
      </c>
      <c r="X47" s="53">
        <v>62.7</v>
      </c>
      <c r="Y47" s="54">
        <f t="shared" si="3"/>
        <v>1.3054341036851969</v>
      </c>
      <c r="Z47" s="53">
        <v>6.3599999999999994</v>
      </c>
      <c r="AA47" s="55">
        <f t="shared" si="4"/>
        <v>0.27664201826881252</v>
      </c>
      <c r="AB47" s="53">
        <v>20.079999999999998</v>
      </c>
      <c r="AC47" s="56">
        <f t="shared" si="5"/>
        <v>0.51473981030505001</v>
      </c>
      <c r="AD47" s="1">
        <v>228.34</v>
      </c>
      <c r="AE47" s="57">
        <f t="shared" si="6"/>
        <v>5.8533709305306338</v>
      </c>
      <c r="AF47" s="1">
        <v>2.1999999999999999E-2</v>
      </c>
      <c r="AG47" s="1">
        <v>208</v>
      </c>
      <c r="AH47" s="1">
        <v>62.3</v>
      </c>
      <c r="AI47" s="1">
        <v>6.1</v>
      </c>
      <c r="AJ47" s="1">
        <v>2.5799999999999996</v>
      </c>
    </row>
    <row r="48" spans="1:36" ht="28.2" thickBot="1" x14ac:dyDescent="0.35">
      <c r="A48" s="53" t="s">
        <v>383</v>
      </c>
      <c r="B48" s="53" t="s">
        <v>141</v>
      </c>
      <c r="C48" s="53" t="s">
        <v>384</v>
      </c>
      <c r="D48" s="53" t="s">
        <v>102</v>
      </c>
      <c r="E48" s="53" t="s">
        <v>346</v>
      </c>
      <c r="F48" s="61" t="s">
        <v>385</v>
      </c>
      <c r="G48" s="61" t="s">
        <v>385</v>
      </c>
      <c r="H48" s="53">
        <v>6.36</v>
      </c>
      <c r="I48" s="53">
        <v>128</v>
      </c>
      <c r="J48" s="53">
        <v>1244</v>
      </c>
      <c r="K48" s="53">
        <v>26.29</v>
      </c>
      <c r="L48" s="53">
        <v>1.44</v>
      </c>
      <c r="M48" s="53">
        <v>622</v>
      </c>
      <c r="N48" s="53">
        <v>1.3</v>
      </c>
      <c r="O48" s="53">
        <v>1E-4</v>
      </c>
      <c r="P48" s="53">
        <v>0.13</v>
      </c>
      <c r="Q48" s="53">
        <v>2.6</v>
      </c>
      <c r="R48" s="53">
        <v>227</v>
      </c>
      <c r="S48" s="54">
        <f t="shared" si="0"/>
        <v>3.7202868718123532</v>
      </c>
      <c r="T48" s="53">
        <v>59.43</v>
      </c>
      <c r="U48" s="54">
        <f t="shared" si="1"/>
        <v>2.9657168521383301</v>
      </c>
      <c r="V48" s="53">
        <v>20.9</v>
      </c>
      <c r="W48" s="55">
        <f t="shared" si="2"/>
        <v>0.58956276445698153</v>
      </c>
      <c r="X48" s="53">
        <v>61.5</v>
      </c>
      <c r="Y48" s="54">
        <f t="shared" si="3"/>
        <v>1.2804497189256714</v>
      </c>
      <c r="Z48" s="53">
        <v>4.71</v>
      </c>
      <c r="AA48" s="55">
        <f t="shared" si="4"/>
        <v>0.20487168334058287</v>
      </c>
      <c r="AB48" s="53">
        <v>10.24</v>
      </c>
      <c r="AC48" s="56">
        <f t="shared" si="5"/>
        <v>0.26249679569341194</v>
      </c>
      <c r="AD48" s="1">
        <v>224.51</v>
      </c>
      <c r="AE48" s="57">
        <f t="shared" si="6"/>
        <v>5.7551909766726483</v>
      </c>
      <c r="AF48" s="1">
        <v>1.3999999999999999E-2</v>
      </c>
      <c r="AG48" s="1">
        <v>128</v>
      </c>
      <c r="AH48" s="1">
        <v>79.8</v>
      </c>
      <c r="AI48" s="1">
        <v>6.8000000000000007</v>
      </c>
      <c r="AJ48" s="1">
        <v>4.68</v>
      </c>
    </row>
    <row r="49" spans="1:36" ht="28.2" thickBot="1" x14ac:dyDescent="0.35">
      <c r="A49" s="53" t="s">
        <v>386</v>
      </c>
      <c r="B49" s="53" t="s">
        <v>141</v>
      </c>
      <c r="C49" s="53" t="s">
        <v>387</v>
      </c>
      <c r="D49" s="53" t="s">
        <v>388</v>
      </c>
      <c r="E49" s="53" t="s">
        <v>389</v>
      </c>
      <c r="F49" s="61">
        <v>17.028013000000001</v>
      </c>
      <c r="G49" s="61" t="s">
        <v>390</v>
      </c>
      <c r="H49" s="53">
        <v>6.74</v>
      </c>
      <c r="I49" s="53">
        <v>129.9</v>
      </c>
      <c r="J49" s="53">
        <v>1074</v>
      </c>
      <c r="K49" s="53">
        <v>26.42</v>
      </c>
      <c r="L49" s="53">
        <v>1.44</v>
      </c>
      <c r="M49" s="53">
        <v>540</v>
      </c>
      <c r="N49" s="53">
        <v>1.56</v>
      </c>
      <c r="O49" s="53">
        <v>2.9999999999999997E-4</v>
      </c>
      <c r="P49" s="53">
        <v>0.17</v>
      </c>
      <c r="Q49" s="53">
        <v>1.3</v>
      </c>
      <c r="R49" s="53">
        <v>344</v>
      </c>
      <c r="S49" s="54">
        <f t="shared" si="0"/>
        <v>5.6377915590460326</v>
      </c>
      <c r="T49" s="53">
        <v>96.24</v>
      </c>
      <c r="U49" s="54">
        <f t="shared" si="1"/>
        <v>4.8026348620190626</v>
      </c>
      <c r="V49" s="53">
        <v>10.199999999999999</v>
      </c>
      <c r="W49" s="55">
        <f t="shared" si="2"/>
        <v>0.28772919605077568</v>
      </c>
      <c r="X49" s="53">
        <v>53.7</v>
      </c>
      <c r="Y49" s="54">
        <f t="shared" si="3"/>
        <v>1.118051217988757</v>
      </c>
      <c r="Z49" s="53">
        <v>2.69</v>
      </c>
      <c r="AA49" s="55">
        <f t="shared" si="4"/>
        <v>0.11700739451935625</v>
      </c>
      <c r="AB49" s="53">
        <v>22.31</v>
      </c>
      <c r="AC49" s="56">
        <f t="shared" si="5"/>
        <v>0.57190463983593953</v>
      </c>
      <c r="AD49" s="1">
        <v>334.28</v>
      </c>
      <c r="AE49" s="57">
        <f t="shared" si="6"/>
        <v>8.5690848500384522</v>
      </c>
      <c r="AF49" s="1">
        <v>1.9E-2</v>
      </c>
      <c r="AG49" s="1">
        <v>188</v>
      </c>
      <c r="AH49" s="1">
        <v>70.7</v>
      </c>
      <c r="AI49" s="1">
        <v>4.7</v>
      </c>
      <c r="AJ49" s="1">
        <v>4.18</v>
      </c>
    </row>
    <row r="50" spans="1:36" ht="42" thickBot="1" x14ac:dyDescent="0.35">
      <c r="A50" s="53" t="s">
        <v>391</v>
      </c>
      <c r="B50" s="53" t="s">
        <v>141</v>
      </c>
      <c r="C50" s="53" t="s">
        <v>392</v>
      </c>
      <c r="D50" s="53" t="s">
        <v>393</v>
      </c>
      <c r="E50" s="53" t="s">
        <v>220</v>
      </c>
      <c r="F50" s="62" t="s">
        <v>394</v>
      </c>
      <c r="G50" s="62" t="s">
        <v>395</v>
      </c>
      <c r="H50" s="53">
        <v>6.61</v>
      </c>
      <c r="I50" s="53">
        <v>132</v>
      </c>
      <c r="J50" s="53">
        <v>1244</v>
      </c>
      <c r="K50" s="53">
        <v>26.53</v>
      </c>
      <c r="L50" s="53">
        <v>1.45</v>
      </c>
      <c r="M50" s="53">
        <v>622</v>
      </c>
      <c r="N50" s="53">
        <v>1.45</v>
      </c>
      <c r="O50" s="53">
        <v>1E-4</v>
      </c>
      <c r="P50" s="53">
        <v>0.10199999999999999</v>
      </c>
      <c r="Q50" s="53">
        <v>1.1200000000000001</v>
      </c>
      <c r="R50" s="53">
        <v>300</v>
      </c>
      <c r="S50" s="54">
        <f t="shared" si="0"/>
        <v>4.9166786852145634</v>
      </c>
      <c r="T50" s="53">
        <v>80.819999999999993</v>
      </c>
      <c r="U50" s="54">
        <f t="shared" si="1"/>
        <v>4.0331353859973049</v>
      </c>
      <c r="V50" s="53">
        <v>13.6</v>
      </c>
      <c r="W50" s="55">
        <f t="shared" si="2"/>
        <v>0.38363892806770095</v>
      </c>
      <c r="X50" s="53">
        <v>64.2</v>
      </c>
      <c r="Y50" s="54">
        <f t="shared" si="3"/>
        <v>1.3366645846346035</v>
      </c>
      <c r="Z50" s="53">
        <v>2.95</v>
      </c>
      <c r="AA50" s="55">
        <f t="shared" si="4"/>
        <v>0.12831665941713791</v>
      </c>
      <c r="AB50" s="53">
        <v>10.18</v>
      </c>
      <c r="AC50" s="56">
        <f t="shared" si="5"/>
        <v>0.26095872853114588</v>
      </c>
      <c r="AD50" s="1">
        <v>327.76</v>
      </c>
      <c r="AE50" s="57">
        <f t="shared" si="6"/>
        <v>8.4019482184055381</v>
      </c>
      <c r="AF50" s="1">
        <v>6.0000000000000006E-4</v>
      </c>
      <c r="AG50" s="1">
        <v>212</v>
      </c>
      <c r="AH50" s="1">
        <v>59.4</v>
      </c>
      <c r="AI50" s="1">
        <v>2.8</v>
      </c>
      <c r="AJ50" s="1">
        <v>1.3800000000000003</v>
      </c>
    </row>
    <row r="51" spans="1:36" ht="28.2" thickBot="1" x14ac:dyDescent="0.35">
      <c r="A51" s="53" t="s">
        <v>396</v>
      </c>
      <c r="B51" s="53" t="s">
        <v>141</v>
      </c>
      <c r="C51" s="53" t="s">
        <v>397</v>
      </c>
      <c r="D51" s="53" t="s">
        <v>136</v>
      </c>
      <c r="E51" s="53" t="s">
        <v>398</v>
      </c>
      <c r="F51" s="61" t="s">
        <v>399</v>
      </c>
      <c r="G51" s="61" t="s">
        <v>400</v>
      </c>
      <c r="H51" s="53">
        <v>6.58</v>
      </c>
      <c r="I51" s="53">
        <v>130.5</v>
      </c>
      <c r="J51" s="53">
        <v>1368</v>
      </c>
      <c r="K51" s="53">
        <v>26.48</v>
      </c>
      <c r="L51" s="53">
        <v>1.45</v>
      </c>
      <c r="M51" s="53">
        <v>685</v>
      </c>
      <c r="N51" s="53">
        <v>1.35</v>
      </c>
      <c r="O51" s="53">
        <v>2.0000000000000001E-4</v>
      </c>
      <c r="P51" s="53">
        <v>0.03</v>
      </c>
      <c r="Q51" s="53">
        <v>0.84</v>
      </c>
      <c r="R51" s="53">
        <v>461</v>
      </c>
      <c r="S51" s="54">
        <f t="shared" si="0"/>
        <v>7.5552962462797124</v>
      </c>
      <c r="T51" s="53">
        <v>92.28</v>
      </c>
      <c r="U51" s="54">
        <f t="shared" si="1"/>
        <v>4.6050202105893501</v>
      </c>
      <c r="V51" s="53">
        <v>8</v>
      </c>
      <c r="W51" s="55">
        <f t="shared" si="2"/>
        <v>0.22566995768688292</v>
      </c>
      <c r="X51" s="53">
        <v>47.5</v>
      </c>
      <c r="Y51" s="54">
        <f t="shared" si="3"/>
        <v>0.98896523006454296</v>
      </c>
      <c r="Z51" s="53">
        <v>6.1</v>
      </c>
      <c r="AA51" s="55">
        <f t="shared" si="4"/>
        <v>0.2653327533710309</v>
      </c>
      <c r="AB51" s="53">
        <v>20.170000000000002</v>
      </c>
      <c r="AC51" s="56">
        <f t="shared" si="5"/>
        <v>0.51704691104844913</v>
      </c>
      <c r="AD51" s="1">
        <v>459.18</v>
      </c>
      <c r="AE51" s="57">
        <f t="shared" si="6"/>
        <v>11.770827992822355</v>
      </c>
      <c r="AF51" s="1">
        <v>5.0000000000000001E-3</v>
      </c>
      <c r="AG51" s="1">
        <v>252</v>
      </c>
      <c r="AH51" s="1">
        <v>49.22</v>
      </c>
      <c r="AI51" s="1">
        <v>3.5999999999999996</v>
      </c>
      <c r="AJ51" s="1">
        <v>3.0799999999999996</v>
      </c>
    </row>
    <row r="52" spans="1:36" ht="28.2" thickBot="1" x14ac:dyDescent="0.35">
      <c r="A52" s="53" t="s">
        <v>401</v>
      </c>
      <c r="B52" s="53" t="s">
        <v>141</v>
      </c>
      <c r="C52" s="53" t="s">
        <v>402</v>
      </c>
      <c r="D52" s="53" t="s">
        <v>79</v>
      </c>
      <c r="E52" s="53" t="s">
        <v>280</v>
      </c>
      <c r="F52" s="61">
        <v>17.028013000000001</v>
      </c>
      <c r="G52" s="61" t="s">
        <v>390</v>
      </c>
      <c r="H52" s="53">
        <v>6.91</v>
      </c>
      <c r="I52" s="53">
        <v>128</v>
      </c>
      <c r="J52" s="53">
        <v>883</v>
      </c>
      <c r="K52" s="53">
        <v>26.2</v>
      </c>
      <c r="L52" s="53">
        <v>1.44</v>
      </c>
      <c r="M52" s="53">
        <v>441</v>
      </c>
      <c r="N52" s="53">
        <v>1.65</v>
      </c>
      <c r="O52" s="53">
        <v>4.0000000000000002E-4</v>
      </c>
      <c r="P52" s="53">
        <v>0.15</v>
      </c>
      <c r="Q52" s="53">
        <v>0.61</v>
      </c>
      <c r="R52" s="53">
        <v>249</v>
      </c>
      <c r="S52" s="54">
        <f t="shared" si="0"/>
        <v>4.0808433087280882</v>
      </c>
      <c r="T52" s="53">
        <v>82.21</v>
      </c>
      <c r="U52" s="54">
        <f t="shared" si="1"/>
        <v>4.1025001247567241</v>
      </c>
      <c r="V52" s="53">
        <v>12.4</v>
      </c>
      <c r="W52" s="55">
        <f t="shared" si="2"/>
        <v>0.3497884344146685</v>
      </c>
      <c r="X52" s="53">
        <v>102.9</v>
      </c>
      <c r="Y52" s="54">
        <f t="shared" si="3"/>
        <v>2.1424109931292943</v>
      </c>
      <c r="Z52" s="53">
        <v>27.21</v>
      </c>
      <c r="AA52" s="55">
        <f t="shared" si="4"/>
        <v>1.1835580687255329</v>
      </c>
      <c r="AB52" s="53">
        <v>10.130000000000001</v>
      </c>
      <c r="AC52" s="56">
        <f t="shared" si="5"/>
        <v>0.25967700589592413</v>
      </c>
      <c r="AD52" s="1">
        <v>247.72</v>
      </c>
      <c r="AE52" s="57">
        <f t="shared" si="6"/>
        <v>6.3501666239425791</v>
      </c>
      <c r="AF52" s="1">
        <v>6.9999999999999988E-4</v>
      </c>
      <c r="AG52" s="1">
        <v>208</v>
      </c>
      <c r="AH52" s="1">
        <v>68.8</v>
      </c>
      <c r="AI52" s="1">
        <v>4</v>
      </c>
      <c r="AJ52" s="1">
        <v>1.2799999999999998</v>
      </c>
    </row>
    <row r="53" spans="1:36" ht="28.2" thickBot="1" x14ac:dyDescent="0.35">
      <c r="A53" s="53" t="s">
        <v>403</v>
      </c>
      <c r="B53" s="53" t="s">
        <v>141</v>
      </c>
      <c r="C53" s="53" t="s">
        <v>404</v>
      </c>
      <c r="D53" s="53" t="s">
        <v>73</v>
      </c>
      <c r="E53" s="53" t="s">
        <v>338</v>
      </c>
      <c r="F53" s="62" t="s">
        <v>371</v>
      </c>
      <c r="G53" s="62" t="s">
        <v>372</v>
      </c>
      <c r="H53" s="53">
        <v>6.22</v>
      </c>
      <c r="I53" s="53">
        <v>125</v>
      </c>
      <c r="J53" s="53">
        <v>1209</v>
      </c>
      <c r="K53" s="53">
        <v>26.52</v>
      </c>
      <c r="L53" s="53">
        <v>1.44</v>
      </c>
      <c r="M53" s="53">
        <v>604</v>
      </c>
      <c r="N53" s="53">
        <v>1.55</v>
      </c>
      <c r="O53" s="53">
        <v>4.0000000000000002E-4</v>
      </c>
      <c r="P53" s="53">
        <v>0.84</v>
      </c>
      <c r="Q53" s="53">
        <v>0.71</v>
      </c>
      <c r="R53" s="53">
        <v>355</v>
      </c>
      <c r="S53" s="54">
        <f t="shared" si="0"/>
        <v>5.8180697775038999</v>
      </c>
      <c r="T53" s="53">
        <v>92.63</v>
      </c>
      <c r="U53" s="54">
        <f t="shared" si="1"/>
        <v>4.6224861520035923</v>
      </c>
      <c r="V53" s="53">
        <v>17.899999999999999</v>
      </c>
      <c r="W53" s="55">
        <f t="shared" si="2"/>
        <v>0.50493653032440045</v>
      </c>
      <c r="X53" s="53">
        <v>70.900000000000006</v>
      </c>
      <c r="Y53" s="54">
        <f t="shared" si="3"/>
        <v>1.4761607328752864</v>
      </c>
      <c r="Z53" s="53">
        <v>16.43</v>
      </c>
      <c r="AA53" s="55">
        <f t="shared" si="4"/>
        <v>0.71465854719443245</v>
      </c>
      <c r="AB53" s="53">
        <v>20.46</v>
      </c>
      <c r="AC53" s="56">
        <f t="shared" si="5"/>
        <v>0.52448090233273525</v>
      </c>
      <c r="AD53" s="1">
        <v>329.79</v>
      </c>
      <c r="AE53" s="57">
        <f t="shared" si="6"/>
        <v>8.4539861573955406</v>
      </c>
      <c r="AF53" s="1">
        <v>1.8E-3</v>
      </c>
      <c r="AG53" s="1">
        <v>212</v>
      </c>
      <c r="AH53" s="1">
        <v>59.9</v>
      </c>
      <c r="AI53" s="1">
        <v>3.8</v>
      </c>
      <c r="AJ53" s="1">
        <v>4.7800000000000011</v>
      </c>
    </row>
  </sheetData>
  <mergeCells count="17">
    <mergeCell ref="AB2:AC2"/>
    <mergeCell ref="AD2:AE2"/>
    <mergeCell ref="H2:H3"/>
    <mergeCell ref="I2:I3"/>
    <mergeCell ref="R2:S2"/>
    <mergeCell ref="A1:G1"/>
    <mergeCell ref="A2:A3"/>
    <mergeCell ref="B2:B3"/>
    <mergeCell ref="C2:C3"/>
    <mergeCell ref="D2:D3"/>
    <mergeCell ref="E2:E3"/>
    <mergeCell ref="F2:F3"/>
    <mergeCell ref="G2:G3"/>
    <mergeCell ref="T2:U2"/>
    <mergeCell ref="V2:W2"/>
    <mergeCell ref="X2:Y2"/>
    <mergeCell ref="Z2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2325-E60B-4F9F-8061-E5BFFEA208D7}">
  <dimension ref="A1:AK53"/>
  <sheetViews>
    <sheetView workbookViewId="0">
      <selection activeCell="A2" sqref="A2"/>
    </sheetView>
  </sheetViews>
  <sheetFormatPr defaultRowHeight="14.4" x14ac:dyDescent="0.3"/>
  <cols>
    <col min="3" max="3" width="10.109375" customWidth="1"/>
  </cols>
  <sheetData>
    <row r="1" spans="1:37" ht="23.4" x14ac:dyDescent="0.45">
      <c r="A1" s="113" t="s">
        <v>1118</v>
      </c>
      <c r="B1" s="113"/>
      <c r="C1" s="113"/>
      <c r="D1" s="113"/>
      <c r="V1" t="s">
        <v>0</v>
      </c>
      <c r="W1" t="s">
        <v>3</v>
      </c>
      <c r="X1" s="72" t="s">
        <v>407</v>
      </c>
      <c r="Y1" s="72" t="s">
        <v>408</v>
      </c>
      <c r="Z1" s="72" t="s">
        <v>4</v>
      </c>
      <c r="AA1" s="72" t="s">
        <v>5</v>
      </c>
      <c r="AB1" s="72" t="s">
        <v>6</v>
      </c>
    </row>
    <row r="2" spans="1:37" ht="41.4" customHeight="1" x14ac:dyDescent="0.3">
      <c r="A2" s="76" t="s">
        <v>30</v>
      </c>
      <c r="B2" s="73" t="s">
        <v>409</v>
      </c>
      <c r="C2" s="73" t="s">
        <v>7</v>
      </c>
      <c r="D2" s="82" t="s">
        <v>34</v>
      </c>
      <c r="E2" s="110" t="s">
        <v>8</v>
      </c>
      <c r="F2" s="110" t="s">
        <v>9</v>
      </c>
      <c r="G2" s="83" t="s">
        <v>10</v>
      </c>
      <c r="H2" s="84" t="s">
        <v>11</v>
      </c>
      <c r="I2" s="84" t="s">
        <v>13</v>
      </c>
      <c r="J2" s="84" t="s">
        <v>12</v>
      </c>
      <c r="K2" s="84" t="s">
        <v>14</v>
      </c>
      <c r="L2" s="84" t="s">
        <v>15</v>
      </c>
      <c r="M2" s="84" t="s">
        <v>24</v>
      </c>
      <c r="N2" s="84" t="s">
        <v>16</v>
      </c>
      <c r="O2" s="84" t="s">
        <v>17</v>
      </c>
      <c r="P2" s="111" t="s">
        <v>469</v>
      </c>
      <c r="Q2" s="112"/>
      <c r="R2" s="111" t="s">
        <v>470</v>
      </c>
      <c r="S2" s="112"/>
      <c r="T2" s="111" t="s">
        <v>1</v>
      </c>
      <c r="U2" s="114"/>
      <c r="V2" s="112"/>
      <c r="W2" s="111" t="s">
        <v>2</v>
      </c>
      <c r="X2" s="114"/>
      <c r="Y2" s="112"/>
      <c r="Z2" s="111" t="s">
        <v>4</v>
      </c>
      <c r="AA2" s="114"/>
      <c r="AB2" s="111" t="s">
        <v>5</v>
      </c>
      <c r="AC2" s="114"/>
      <c r="AD2" s="111" t="s">
        <v>6</v>
      </c>
      <c r="AE2" s="114"/>
      <c r="AF2" s="112"/>
      <c r="AG2" s="84" t="s">
        <v>20</v>
      </c>
      <c r="AH2" s="84" t="s">
        <v>21</v>
      </c>
      <c r="AI2" s="84" t="s">
        <v>22</v>
      </c>
      <c r="AJ2" s="84" t="s">
        <v>23</v>
      </c>
      <c r="AK2" s="84" t="s">
        <v>24</v>
      </c>
    </row>
    <row r="3" spans="1:37" x14ac:dyDescent="0.3">
      <c r="A3" s="2"/>
      <c r="E3" s="110"/>
      <c r="F3" s="110"/>
      <c r="G3" s="85" t="s">
        <v>25</v>
      </c>
      <c r="H3" s="86" t="s">
        <v>471</v>
      </c>
      <c r="I3" s="87" t="s">
        <v>27</v>
      </c>
      <c r="J3" s="88" t="s">
        <v>27</v>
      </c>
      <c r="K3" s="88" t="s">
        <v>27</v>
      </c>
      <c r="L3" s="88" t="s">
        <v>27</v>
      </c>
      <c r="M3" s="88" t="s">
        <v>27</v>
      </c>
      <c r="N3" s="88" t="s">
        <v>27</v>
      </c>
      <c r="O3" s="88" t="s">
        <v>27</v>
      </c>
      <c r="P3" s="88" t="s">
        <v>27</v>
      </c>
      <c r="Q3" s="89" t="s">
        <v>28</v>
      </c>
      <c r="R3" s="88" t="s">
        <v>27</v>
      </c>
      <c r="S3" s="89" t="s">
        <v>28</v>
      </c>
      <c r="T3" s="88" t="s">
        <v>27</v>
      </c>
      <c r="U3" s="89" t="s">
        <v>28</v>
      </c>
      <c r="V3" s="89" t="s">
        <v>410</v>
      </c>
      <c r="W3" s="88" t="s">
        <v>27</v>
      </c>
      <c r="X3" s="89" t="s">
        <v>28</v>
      </c>
      <c r="Y3" s="89" t="s">
        <v>410</v>
      </c>
      <c r="Z3" s="88" t="s">
        <v>27</v>
      </c>
      <c r="AA3" s="89" t="s">
        <v>28</v>
      </c>
      <c r="AB3" s="88" t="s">
        <v>27</v>
      </c>
      <c r="AC3" s="89" t="s">
        <v>28</v>
      </c>
      <c r="AD3" s="88" t="s">
        <v>27</v>
      </c>
      <c r="AE3" s="89" t="s">
        <v>28</v>
      </c>
      <c r="AF3" s="89" t="s">
        <v>410</v>
      </c>
      <c r="AG3" s="88" t="s">
        <v>27</v>
      </c>
      <c r="AH3" s="87" t="s">
        <v>27</v>
      </c>
      <c r="AI3" s="88" t="s">
        <v>27</v>
      </c>
      <c r="AJ3" s="88" t="s">
        <v>27</v>
      </c>
      <c r="AK3" s="84" t="s">
        <v>29</v>
      </c>
    </row>
    <row r="4" spans="1:37" x14ac:dyDescent="0.3">
      <c r="A4" s="74" t="s">
        <v>411</v>
      </c>
      <c r="B4" s="74">
        <v>17.073626999999998</v>
      </c>
      <c r="C4" s="74">
        <v>74.303420000000003</v>
      </c>
      <c r="D4" s="74" t="s">
        <v>333</v>
      </c>
      <c r="E4" s="74">
        <v>6.86</v>
      </c>
      <c r="F4" s="74">
        <v>106.3</v>
      </c>
      <c r="G4" s="74">
        <v>941</v>
      </c>
      <c r="H4" s="74">
        <v>26.47</v>
      </c>
      <c r="I4" s="74">
        <v>470</v>
      </c>
      <c r="J4" s="74">
        <v>1.42</v>
      </c>
      <c r="K4" s="74">
        <v>0.56000000000000005</v>
      </c>
      <c r="L4" s="74">
        <v>2.9999999999999997E-4</v>
      </c>
      <c r="M4" s="74">
        <v>2.5799999999999996</v>
      </c>
      <c r="N4" s="79">
        <v>0.21</v>
      </c>
      <c r="O4" s="79">
        <v>0.61</v>
      </c>
      <c r="P4" s="80">
        <v>1012</v>
      </c>
      <c r="Q4" s="81">
        <f>(P4*1)/61.0168</f>
        <v>16.585596098123794</v>
      </c>
      <c r="R4" s="74">
        <v>6.3000000000000007</v>
      </c>
      <c r="S4" s="75">
        <f>(R4*2)/96.06</f>
        <v>0.13116801998750782</v>
      </c>
      <c r="T4" s="77">
        <v>492.18</v>
      </c>
      <c r="U4" s="77">
        <f>(T4*2)/40.078</f>
        <v>24.56110584360497</v>
      </c>
      <c r="V4" s="77">
        <f>T4*0.0217391</f>
        <v>10.699550238</v>
      </c>
      <c r="W4" s="77">
        <v>14.3</v>
      </c>
      <c r="X4" s="77">
        <f>(W4*1)/35.45</f>
        <v>0.40338504936530323</v>
      </c>
      <c r="Y4" s="77">
        <f>W4*0.0217391</f>
        <v>0.31086913000000005</v>
      </c>
      <c r="Z4" s="77">
        <v>12.25</v>
      </c>
      <c r="AA4" s="77">
        <f>(Z4*1)/22.99</f>
        <v>0.53284036537625057</v>
      </c>
      <c r="AB4" s="77">
        <v>21.76</v>
      </c>
      <c r="AC4" s="77">
        <f>(AB4*1)/39.01</f>
        <v>0.5578056908485004</v>
      </c>
      <c r="AD4" s="77">
        <v>449.84</v>
      </c>
      <c r="AE4" s="77">
        <f>(AD4*1)/39.01</f>
        <v>11.531402204562932</v>
      </c>
      <c r="AF4" s="77">
        <f>AD4*0.0217391</f>
        <v>9.7791167439999995</v>
      </c>
      <c r="AG4" s="78">
        <v>5.5700000000000003E-3</v>
      </c>
      <c r="AH4" s="77">
        <v>702</v>
      </c>
      <c r="AI4" s="77">
        <v>22</v>
      </c>
      <c r="AJ4" s="77">
        <v>9.1</v>
      </c>
      <c r="AK4" s="77">
        <v>2.5799999999999996</v>
      </c>
    </row>
    <row r="5" spans="1:37" x14ac:dyDescent="0.3">
      <c r="A5" s="74" t="s">
        <v>412</v>
      </c>
      <c r="B5" s="74">
        <v>17.072846999999999</v>
      </c>
      <c r="C5" s="74">
        <v>74.313062000000002</v>
      </c>
      <c r="D5" s="74" t="s">
        <v>254</v>
      </c>
      <c r="E5" s="74">
        <v>7.41</v>
      </c>
      <c r="F5" s="74">
        <v>118.9</v>
      </c>
      <c r="G5" s="74">
        <v>1179</v>
      </c>
      <c r="H5" s="74">
        <v>26.49</v>
      </c>
      <c r="I5" s="74">
        <v>589</v>
      </c>
      <c r="J5" s="74">
        <v>1.41</v>
      </c>
      <c r="K5" s="74">
        <v>0.13</v>
      </c>
      <c r="L5" s="79">
        <v>2.9999999999999997E-4</v>
      </c>
      <c r="M5" s="74">
        <v>4.68</v>
      </c>
      <c r="N5" s="79">
        <v>0.27</v>
      </c>
      <c r="O5" s="79">
        <v>0.71</v>
      </c>
      <c r="P5" s="80">
        <v>812</v>
      </c>
      <c r="Q5" s="81">
        <f t="shared" ref="Q5:Q53" si="0">(P5*1)/61.0168</f>
        <v>13.307810307980752</v>
      </c>
      <c r="R5" s="74">
        <v>4.3000000000000007</v>
      </c>
      <c r="S5" s="75">
        <f t="shared" ref="S5:S53" si="1">(R5*2)/96.06</f>
        <v>8.9527378721632328E-2</v>
      </c>
      <c r="T5" s="77">
        <v>480.31</v>
      </c>
      <c r="U5" s="77">
        <f t="shared" ref="U5:U53" si="2">(T5*2)/40.078</f>
        <v>23.968760916213384</v>
      </c>
      <c r="V5" s="77">
        <f t="shared" ref="V5:V53" si="3">T5*0.0217391</f>
        <v>10.441507121000001</v>
      </c>
      <c r="W5" s="77">
        <v>12.3</v>
      </c>
      <c r="X5" s="77">
        <f t="shared" ref="X5:X53" si="4">(W5*1)/35.45</f>
        <v>0.34696755994358253</v>
      </c>
      <c r="Y5" s="77">
        <f t="shared" ref="Y5:Y53" si="5">W5*0.0217391</f>
        <v>0.26739093000000003</v>
      </c>
      <c r="Z5" s="77">
        <v>11.45</v>
      </c>
      <c r="AA5" s="77">
        <f t="shared" ref="AA5:AA53" si="6">(Z5*1)/22.99</f>
        <v>0.49804262722923009</v>
      </c>
      <c r="AB5" s="77">
        <v>31.87</v>
      </c>
      <c r="AC5" s="77">
        <f t="shared" ref="AC5:AC53" si="7">(AB5*1)/39.01</f>
        <v>0.8169700076903359</v>
      </c>
      <c r="AD5" s="77">
        <v>333.23</v>
      </c>
      <c r="AE5" s="77">
        <f t="shared" ref="AE5:AE53" si="8">(AD5*1)/39.01</f>
        <v>8.5421686746987966</v>
      </c>
      <c r="AF5" s="77">
        <f t="shared" ref="AF5:AF53" si="9">AD5*0.0217391</f>
        <v>7.2441202930000008</v>
      </c>
      <c r="AG5" s="78">
        <v>2.7699999999999999E-3</v>
      </c>
      <c r="AH5" s="77">
        <v>394</v>
      </c>
      <c r="AI5" s="77">
        <v>27</v>
      </c>
      <c r="AJ5" s="77">
        <v>12.2</v>
      </c>
      <c r="AK5" s="77">
        <v>4.68</v>
      </c>
    </row>
    <row r="6" spans="1:37" x14ac:dyDescent="0.3">
      <c r="A6" s="74" t="s">
        <v>413</v>
      </c>
      <c r="B6" s="74">
        <v>17.07292</v>
      </c>
      <c r="C6" s="74">
        <v>74.313019999999995</v>
      </c>
      <c r="D6" s="74" t="s">
        <v>199</v>
      </c>
      <c r="E6" s="74">
        <v>7.02</v>
      </c>
      <c r="F6" s="74">
        <v>128.1</v>
      </c>
      <c r="G6" s="74">
        <v>873</v>
      </c>
      <c r="H6" s="74">
        <v>26.51</v>
      </c>
      <c r="I6" s="74">
        <v>437</v>
      </c>
      <c r="J6" s="74">
        <v>1.41</v>
      </c>
      <c r="K6" s="74">
        <v>0.49</v>
      </c>
      <c r="L6" s="79">
        <v>2.0000000000000001E-4</v>
      </c>
      <c r="M6" s="74">
        <v>4.18</v>
      </c>
      <c r="N6" s="79">
        <v>0.13</v>
      </c>
      <c r="O6" s="79">
        <v>1.3</v>
      </c>
      <c r="P6" s="80">
        <v>920</v>
      </c>
      <c r="Q6" s="81">
        <f t="shared" si="0"/>
        <v>15.077814634657996</v>
      </c>
      <c r="R6" s="74">
        <v>9.6000000000000014</v>
      </c>
      <c r="S6" s="75">
        <f t="shared" si="1"/>
        <v>0.19987507807620239</v>
      </c>
      <c r="T6" s="77">
        <v>449.62</v>
      </c>
      <c r="U6" s="77">
        <f t="shared" si="2"/>
        <v>22.437247367633113</v>
      </c>
      <c r="V6" s="77">
        <f t="shared" si="3"/>
        <v>9.7743341420000007</v>
      </c>
      <c r="W6" s="77">
        <v>17.600000000000001</v>
      </c>
      <c r="X6" s="77">
        <f t="shared" si="4"/>
        <v>0.49647390691114246</v>
      </c>
      <c r="Y6" s="77">
        <f t="shared" si="5"/>
        <v>0.38260816000000003</v>
      </c>
      <c r="Z6" s="77">
        <v>21.57</v>
      </c>
      <c r="AA6" s="77">
        <f t="shared" si="6"/>
        <v>0.93823401478903878</v>
      </c>
      <c r="AB6" s="77">
        <v>22.87</v>
      </c>
      <c r="AC6" s="77">
        <f t="shared" si="7"/>
        <v>0.58625993335042303</v>
      </c>
      <c r="AD6" s="77">
        <v>404.43</v>
      </c>
      <c r="AE6" s="77">
        <f t="shared" si="8"/>
        <v>10.367341707254552</v>
      </c>
      <c r="AF6" s="77">
        <f t="shared" si="9"/>
        <v>8.7919442130000007</v>
      </c>
      <c r="AG6" s="78">
        <v>7.4700000000000001E-3</v>
      </c>
      <c r="AH6" s="77">
        <v>466</v>
      </c>
      <c r="AI6" s="77">
        <v>20</v>
      </c>
      <c r="AJ6" s="77">
        <v>7.2</v>
      </c>
      <c r="AK6" s="77">
        <v>4.18</v>
      </c>
    </row>
    <row r="7" spans="1:37" x14ac:dyDescent="0.3">
      <c r="A7" s="74" t="s">
        <v>414</v>
      </c>
      <c r="B7" s="74">
        <v>17.073653</v>
      </c>
      <c r="C7" s="74">
        <v>74.324596</v>
      </c>
      <c r="D7" s="74" t="s">
        <v>415</v>
      </c>
      <c r="E7" s="74">
        <v>7.25</v>
      </c>
      <c r="F7" s="74">
        <v>124.5</v>
      </c>
      <c r="G7" s="74">
        <v>780</v>
      </c>
      <c r="H7" s="74">
        <v>26.6</v>
      </c>
      <c r="I7" s="74">
        <v>390</v>
      </c>
      <c r="J7" s="74">
        <v>1.41</v>
      </c>
      <c r="K7" s="74">
        <v>0.48</v>
      </c>
      <c r="L7" s="79">
        <v>1E-4</v>
      </c>
      <c r="M7" s="74">
        <v>1.3800000000000003</v>
      </c>
      <c r="N7" s="79">
        <v>0.17</v>
      </c>
      <c r="O7" s="79">
        <v>0.51</v>
      </c>
      <c r="P7" s="80">
        <v>649</v>
      </c>
      <c r="Q7" s="81">
        <f t="shared" si="0"/>
        <v>10.636414889014173</v>
      </c>
      <c r="R7" s="74">
        <v>8.3999999999999986</v>
      </c>
      <c r="S7" s="75">
        <f t="shared" si="1"/>
        <v>0.17489069331667703</v>
      </c>
      <c r="T7" s="77">
        <v>316.3</v>
      </c>
      <c r="U7" s="77">
        <f t="shared" si="2"/>
        <v>15.784220769499475</v>
      </c>
      <c r="V7" s="77">
        <f t="shared" si="3"/>
        <v>6.8760773300000002</v>
      </c>
      <c r="W7" s="77">
        <v>16.399999999999999</v>
      </c>
      <c r="X7" s="77">
        <f t="shared" si="4"/>
        <v>0.46262341325810996</v>
      </c>
      <c r="Y7" s="77">
        <f t="shared" si="5"/>
        <v>0.35652123999999996</v>
      </c>
      <c r="Z7" s="77">
        <v>31.8</v>
      </c>
      <c r="AA7" s="77">
        <f t="shared" si="6"/>
        <v>1.3832100913440628</v>
      </c>
      <c r="AB7" s="77">
        <v>24.9</v>
      </c>
      <c r="AC7" s="77">
        <f t="shared" si="7"/>
        <v>0.63829787234042556</v>
      </c>
      <c r="AD7" s="77">
        <v>346.65</v>
      </c>
      <c r="AE7" s="77">
        <f t="shared" si="8"/>
        <v>8.8861830299923099</v>
      </c>
      <c r="AF7" s="77">
        <f t="shared" si="9"/>
        <v>7.5358590149999998</v>
      </c>
      <c r="AG7" s="78">
        <v>3.1700000000000001E-3</v>
      </c>
      <c r="AH7" s="77">
        <v>378</v>
      </c>
      <c r="AI7" s="77">
        <v>24</v>
      </c>
      <c r="AJ7" s="77">
        <v>10.4</v>
      </c>
      <c r="AK7" s="77">
        <v>1.3800000000000003</v>
      </c>
    </row>
    <row r="8" spans="1:37" x14ac:dyDescent="0.3">
      <c r="A8" s="74" t="s">
        <v>416</v>
      </c>
      <c r="B8" s="74">
        <v>17.080833999999999</v>
      </c>
      <c r="C8" s="74">
        <v>74.326666000000003</v>
      </c>
      <c r="D8" s="74" t="s">
        <v>417</v>
      </c>
      <c r="E8" s="74">
        <v>7.5</v>
      </c>
      <c r="F8" s="74">
        <v>115.7</v>
      </c>
      <c r="G8" s="74">
        <v>825</v>
      </c>
      <c r="H8" s="74">
        <v>26.48</v>
      </c>
      <c r="I8" s="74">
        <v>413</v>
      </c>
      <c r="J8" s="74">
        <v>1.42</v>
      </c>
      <c r="K8" s="74">
        <v>0.54</v>
      </c>
      <c r="L8" s="79">
        <v>1E-4</v>
      </c>
      <c r="M8" s="74">
        <v>3.0799999999999996</v>
      </c>
      <c r="N8" s="79">
        <v>0.10199999999999999</v>
      </c>
      <c r="O8" s="79">
        <v>1.2</v>
      </c>
      <c r="P8" s="80">
        <v>655</v>
      </c>
      <c r="Q8" s="81">
        <f t="shared" si="0"/>
        <v>10.734748462718464</v>
      </c>
      <c r="R8" s="74">
        <v>12.899999999999999</v>
      </c>
      <c r="S8" s="75">
        <f t="shared" si="1"/>
        <v>0.2685821361648969</v>
      </c>
      <c r="T8" s="77">
        <v>312.27999999999997</v>
      </c>
      <c r="U8" s="77">
        <f t="shared" si="2"/>
        <v>15.583611956684463</v>
      </c>
      <c r="V8" s="77">
        <f t="shared" si="3"/>
        <v>6.788686148</v>
      </c>
      <c r="W8" s="77">
        <v>20.9</v>
      </c>
      <c r="X8" s="77">
        <f t="shared" si="4"/>
        <v>0.58956276445698153</v>
      </c>
      <c r="Y8" s="77">
        <f t="shared" si="5"/>
        <v>0.45434719000000001</v>
      </c>
      <c r="Z8" s="77">
        <v>12.709999999999999</v>
      </c>
      <c r="AA8" s="77">
        <f t="shared" si="6"/>
        <v>0.55284906481078733</v>
      </c>
      <c r="AB8" s="77">
        <v>29.89</v>
      </c>
      <c r="AC8" s="77">
        <f t="shared" si="7"/>
        <v>0.76621379133555501</v>
      </c>
      <c r="AD8" s="77">
        <v>266.32</v>
      </c>
      <c r="AE8" s="77">
        <f t="shared" si="8"/>
        <v>6.8269674442450654</v>
      </c>
      <c r="AF8" s="77">
        <f t="shared" si="9"/>
        <v>5.7895571119999998</v>
      </c>
      <c r="AG8" s="78">
        <v>4.2699999999999995E-3</v>
      </c>
      <c r="AH8" s="77">
        <v>438</v>
      </c>
      <c r="AI8" s="77">
        <v>57.6</v>
      </c>
      <c r="AJ8" s="77">
        <v>7.8</v>
      </c>
      <c r="AK8" s="77">
        <v>3.0799999999999996</v>
      </c>
    </row>
    <row r="9" spans="1:37" x14ac:dyDescent="0.3">
      <c r="A9" s="74" t="s">
        <v>418</v>
      </c>
      <c r="B9" s="74">
        <v>17.078703999999998</v>
      </c>
      <c r="C9" s="74">
        <v>74.326183</v>
      </c>
      <c r="D9" s="74">
        <v>200</v>
      </c>
      <c r="E9" s="74">
        <v>6.8</v>
      </c>
      <c r="F9" s="74">
        <v>117.2</v>
      </c>
      <c r="G9" s="74">
        <v>607</v>
      </c>
      <c r="H9" s="74">
        <v>26.52</v>
      </c>
      <c r="I9" s="74">
        <v>304</v>
      </c>
      <c r="J9" s="74">
        <v>1.41</v>
      </c>
      <c r="K9" s="74">
        <v>0.61</v>
      </c>
      <c r="L9" s="79">
        <v>1E-4</v>
      </c>
      <c r="M9" s="74">
        <v>1.2799999999999998</v>
      </c>
      <c r="N9" s="79">
        <v>0.03</v>
      </c>
      <c r="O9" s="79">
        <v>1.64</v>
      </c>
      <c r="P9" s="80">
        <v>485</v>
      </c>
      <c r="Q9" s="81">
        <f t="shared" si="0"/>
        <v>7.9486305410968781</v>
      </c>
      <c r="R9" s="74">
        <v>2.1999999999999993</v>
      </c>
      <c r="S9" s="75">
        <f t="shared" si="1"/>
        <v>4.5804705392463028E-2</v>
      </c>
      <c r="T9" s="77">
        <v>278.06</v>
      </c>
      <c r="U9" s="77">
        <f t="shared" si="2"/>
        <v>13.875941913269124</v>
      </c>
      <c r="V9" s="77">
        <f t="shared" si="3"/>
        <v>6.044774146</v>
      </c>
      <c r="W9" s="77">
        <v>10.199999999999999</v>
      </c>
      <c r="X9" s="77">
        <f t="shared" si="4"/>
        <v>0.28772919605077568</v>
      </c>
      <c r="Y9" s="77">
        <f t="shared" si="5"/>
        <v>0.22173882</v>
      </c>
      <c r="Z9" s="77">
        <v>15.57</v>
      </c>
      <c r="AA9" s="77">
        <f t="shared" si="6"/>
        <v>0.6772509786863854</v>
      </c>
      <c r="AB9" s="77">
        <v>26.87</v>
      </c>
      <c r="AC9" s="77">
        <f t="shared" si="7"/>
        <v>0.68879774416816208</v>
      </c>
      <c r="AD9" s="77">
        <v>178.24</v>
      </c>
      <c r="AE9" s="77">
        <f t="shared" si="8"/>
        <v>4.5690848500384522</v>
      </c>
      <c r="AF9" s="77">
        <f t="shared" si="9"/>
        <v>3.8747771840000005</v>
      </c>
      <c r="AG9" s="78">
        <v>4.5699999999999994E-3</v>
      </c>
      <c r="AH9" s="77">
        <v>370</v>
      </c>
      <c r="AI9" s="77">
        <v>13.2</v>
      </c>
      <c r="AJ9" s="77">
        <v>8.4</v>
      </c>
      <c r="AK9" s="77">
        <v>1.2799999999999998</v>
      </c>
    </row>
    <row r="10" spans="1:37" x14ac:dyDescent="0.3">
      <c r="A10" s="74" t="s">
        <v>419</v>
      </c>
      <c r="B10" s="74">
        <v>17.090786999999999</v>
      </c>
      <c r="C10" s="74">
        <v>74.328590000000005</v>
      </c>
      <c r="D10" s="74" t="s">
        <v>420</v>
      </c>
      <c r="E10" s="74">
        <v>7.68</v>
      </c>
      <c r="F10" s="74">
        <v>118.5</v>
      </c>
      <c r="G10" s="74">
        <v>537</v>
      </c>
      <c r="H10" s="74">
        <v>26.52</v>
      </c>
      <c r="I10" s="74">
        <v>269</v>
      </c>
      <c r="J10" s="74">
        <v>1.41</v>
      </c>
      <c r="K10" s="74">
        <v>0.86</v>
      </c>
      <c r="L10" s="79">
        <v>1E-4</v>
      </c>
      <c r="M10" s="74">
        <v>4.7800000000000011</v>
      </c>
      <c r="N10" s="79">
        <v>0.15</v>
      </c>
      <c r="O10" s="79">
        <v>2.11</v>
      </c>
      <c r="P10" s="80">
        <v>680</v>
      </c>
      <c r="Q10" s="81">
        <f t="shared" si="0"/>
        <v>11.144471686486344</v>
      </c>
      <c r="R10" s="74">
        <v>5.6</v>
      </c>
      <c r="S10" s="75">
        <f t="shared" si="1"/>
        <v>0.11659379554445137</v>
      </c>
      <c r="T10" s="77">
        <v>200.06</v>
      </c>
      <c r="U10" s="77">
        <f t="shared" si="2"/>
        <v>9.9835321123808569</v>
      </c>
      <c r="V10" s="77">
        <f t="shared" si="3"/>
        <v>4.349124346</v>
      </c>
      <c r="W10" s="77">
        <v>13.6</v>
      </c>
      <c r="X10" s="77">
        <f t="shared" si="4"/>
        <v>0.38363892806770095</v>
      </c>
      <c r="Y10" s="77">
        <f t="shared" si="5"/>
        <v>0.29565175999999999</v>
      </c>
      <c r="Z10" s="77">
        <v>11.04</v>
      </c>
      <c r="AA10" s="77">
        <f t="shared" si="6"/>
        <v>0.4802087864288821</v>
      </c>
      <c r="AB10" s="77">
        <v>12.9</v>
      </c>
      <c r="AC10" s="77">
        <f t="shared" si="7"/>
        <v>0.33068443988720841</v>
      </c>
      <c r="AD10" s="77">
        <v>433.17</v>
      </c>
      <c r="AE10" s="77">
        <f t="shared" si="8"/>
        <v>11.104075877980007</v>
      </c>
      <c r="AF10" s="77">
        <f t="shared" si="9"/>
        <v>9.4167259470000015</v>
      </c>
      <c r="AG10" s="78">
        <v>2.47E-3</v>
      </c>
      <c r="AH10" s="77">
        <v>446</v>
      </c>
      <c r="AI10" s="77">
        <v>48.4</v>
      </c>
      <c r="AJ10" s="77">
        <v>9.1</v>
      </c>
      <c r="AK10" s="77">
        <v>4.7800000000000011</v>
      </c>
    </row>
    <row r="11" spans="1:37" x14ac:dyDescent="0.3">
      <c r="A11" s="74" t="s">
        <v>421</v>
      </c>
      <c r="B11" s="74">
        <v>17.08953</v>
      </c>
      <c r="C11" s="74">
        <v>74.327372999999994</v>
      </c>
      <c r="D11" s="74" t="s">
        <v>422</v>
      </c>
      <c r="E11" s="74">
        <v>7.85</v>
      </c>
      <c r="F11" s="74">
        <v>117.8</v>
      </c>
      <c r="G11" s="74">
        <v>614</v>
      </c>
      <c r="H11" s="74">
        <v>26.48</v>
      </c>
      <c r="I11" s="74">
        <v>307</v>
      </c>
      <c r="J11" s="74">
        <v>1.41</v>
      </c>
      <c r="K11" s="74">
        <v>0.64</v>
      </c>
      <c r="L11" s="79">
        <v>2.9999999999999997E-4</v>
      </c>
      <c r="M11" s="74">
        <v>1.5799999999999996</v>
      </c>
      <c r="N11" s="79">
        <v>0.84</v>
      </c>
      <c r="O11" s="79">
        <v>1.24</v>
      </c>
      <c r="P11" s="80">
        <v>394</v>
      </c>
      <c r="Q11" s="81">
        <f t="shared" si="0"/>
        <v>6.4572380065817931</v>
      </c>
      <c r="R11" s="74">
        <v>0</v>
      </c>
      <c r="S11" s="75">
        <f t="shared" si="1"/>
        <v>0</v>
      </c>
      <c r="T11" s="77">
        <v>115.25</v>
      </c>
      <c r="U11" s="77">
        <f t="shared" si="2"/>
        <v>5.7512849942611899</v>
      </c>
      <c r="V11" s="77">
        <f t="shared" si="3"/>
        <v>2.5054312750000003</v>
      </c>
      <c r="W11" s="77">
        <v>8</v>
      </c>
      <c r="X11" s="77">
        <f t="shared" si="4"/>
        <v>0.22566995768688292</v>
      </c>
      <c r="Y11" s="77">
        <f t="shared" si="5"/>
        <v>0.17391280000000001</v>
      </c>
      <c r="Z11" s="77">
        <v>11.47</v>
      </c>
      <c r="AA11" s="77">
        <f t="shared" si="6"/>
        <v>0.49891257068290568</v>
      </c>
      <c r="AB11" s="77">
        <v>16.21</v>
      </c>
      <c r="AC11" s="77">
        <f t="shared" si="7"/>
        <v>0.41553447833888751</v>
      </c>
      <c r="AD11" s="77">
        <v>293.48</v>
      </c>
      <c r="AE11" s="77">
        <f t="shared" si="8"/>
        <v>7.5231991796975146</v>
      </c>
      <c r="AF11" s="77">
        <f t="shared" si="9"/>
        <v>6.3799910680000007</v>
      </c>
      <c r="AG11" s="78">
        <v>2.47E-3</v>
      </c>
      <c r="AH11" s="77">
        <v>486</v>
      </c>
      <c r="AI11" s="77">
        <v>69</v>
      </c>
      <c r="AJ11" s="77">
        <v>9.3000000000000007</v>
      </c>
      <c r="AK11" s="77">
        <v>1.5799999999999996</v>
      </c>
    </row>
    <row r="12" spans="1:37" x14ac:dyDescent="0.3">
      <c r="A12" s="74" t="s">
        <v>423</v>
      </c>
      <c r="B12" s="74">
        <v>17.093793999999999</v>
      </c>
      <c r="C12" s="74">
        <v>74.330457999999993</v>
      </c>
      <c r="D12" s="74" t="s">
        <v>199</v>
      </c>
      <c r="E12" s="74">
        <v>7.45</v>
      </c>
      <c r="F12" s="74">
        <v>120.8</v>
      </c>
      <c r="G12" s="74">
        <v>542</v>
      </c>
      <c r="H12" s="74">
        <v>26.47</v>
      </c>
      <c r="I12" s="74">
        <v>271</v>
      </c>
      <c r="J12" s="74">
        <v>1.41</v>
      </c>
      <c r="K12" s="74">
        <v>0.7</v>
      </c>
      <c r="L12" s="79">
        <v>1E-4</v>
      </c>
      <c r="M12" s="74">
        <v>2.98</v>
      </c>
      <c r="N12" s="79">
        <v>0.31</v>
      </c>
      <c r="O12" s="79">
        <v>2.61</v>
      </c>
      <c r="P12" s="80">
        <v>768</v>
      </c>
      <c r="Q12" s="81">
        <f t="shared" si="0"/>
        <v>12.586697434149283</v>
      </c>
      <c r="R12" s="74">
        <v>4.4000000000000004</v>
      </c>
      <c r="S12" s="75">
        <f t="shared" si="1"/>
        <v>9.1609410784926099E-2</v>
      </c>
      <c r="T12" s="77">
        <v>387.61</v>
      </c>
      <c r="U12" s="77">
        <f t="shared" si="2"/>
        <v>19.342781575926942</v>
      </c>
      <c r="V12" s="77">
        <f t="shared" si="3"/>
        <v>8.4262925510000013</v>
      </c>
      <c r="W12" s="77">
        <v>12.4</v>
      </c>
      <c r="X12" s="77">
        <f t="shared" si="4"/>
        <v>0.3497884344146685</v>
      </c>
      <c r="Y12" s="77">
        <f t="shared" si="5"/>
        <v>0.26956484000000003</v>
      </c>
      <c r="Z12" s="77">
        <v>21.89</v>
      </c>
      <c r="AA12" s="77">
        <f t="shared" si="6"/>
        <v>0.95215311004784697</v>
      </c>
      <c r="AB12" s="77">
        <v>33.26</v>
      </c>
      <c r="AC12" s="77">
        <f t="shared" si="7"/>
        <v>0.85260189694950017</v>
      </c>
      <c r="AD12" s="77">
        <v>272.95999999999998</v>
      </c>
      <c r="AE12" s="77">
        <f t="shared" si="8"/>
        <v>6.9971802102025116</v>
      </c>
      <c r="AF12" s="77">
        <f t="shared" si="9"/>
        <v>5.9339047359999997</v>
      </c>
      <c r="AG12" s="78">
        <v>2.4469999999999999E-2</v>
      </c>
      <c r="AH12" s="77">
        <v>490</v>
      </c>
      <c r="AI12" s="77">
        <v>87.5</v>
      </c>
      <c r="AJ12" s="77">
        <v>33.4</v>
      </c>
      <c r="AK12" s="77">
        <v>2.98</v>
      </c>
    </row>
    <row r="13" spans="1:37" x14ac:dyDescent="0.3">
      <c r="A13" s="74" t="s">
        <v>424</v>
      </c>
      <c r="B13" s="74">
        <v>17.118637</v>
      </c>
      <c r="C13" s="74">
        <v>74.356954999999999</v>
      </c>
      <c r="D13" s="74" t="s">
        <v>180</v>
      </c>
      <c r="E13" s="74">
        <v>7.3</v>
      </c>
      <c r="F13" s="74">
        <v>106.5</v>
      </c>
      <c r="G13" s="74">
        <v>941</v>
      </c>
      <c r="H13" s="74">
        <v>26.44</v>
      </c>
      <c r="I13" s="74">
        <v>470</v>
      </c>
      <c r="J13" s="74">
        <v>1.42</v>
      </c>
      <c r="K13" s="74">
        <v>0.57999999999999996</v>
      </c>
      <c r="L13" s="79">
        <v>2.0000000000000001E-4</v>
      </c>
      <c r="M13" s="74">
        <v>3.8800000000000003</v>
      </c>
      <c r="N13" s="79">
        <v>0.22</v>
      </c>
      <c r="O13" s="79">
        <v>1.7</v>
      </c>
      <c r="P13" s="80">
        <v>746</v>
      </c>
      <c r="Q13" s="81">
        <f t="shared" si="0"/>
        <v>12.226140997233548</v>
      </c>
      <c r="R13" s="74">
        <v>1.7999999999999998</v>
      </c>
      <c r="S13" s="75">
        <f t="shared" si="1"/>
        <v>3.7476577139287939E-2</v>
      </c>
      <c r="T13" s="77">
        <v>309</v>
      </c>
      <c r="U13" s="77">
        <f t="shared" si="2"/>
        <v>15.419931134288136</v>
      </c>
      <c r="V13" s="77">
        <f t="shared" si="3"/>
        <v>6.7173819000000003</v>
      </c>
      <c r="W13" s="77">
        <v>4.8</v>
      </c>
      <c r="X13" s="77">
        <f t="shared" si="4"/>
        <v>0.13540197461212974</v>
      </c>
      <c r="Y13" s="77">
        <f t="shared" si="5"/>
        <v>0.10434768</v>
      </c>
      <c r="Z13" s="77">
        <v>23.77</v>
      </c>
      <c r="AA13" s="77">
        <f t="shared" si="6"/>
        <v>1.0339277946933449</v>
      </c>
      <c r="AB13" s="77">
        <v>10.07</v>
      </c>
      <c r="AC13" s="77">
        <f t="shared" si="7"/>
        <v>0.25813893873365806</v>
      </c>
      <c r="AD13" s="77">
        <v>364.97</v>
      </c>
      <c r="AE13" s="77">
        <f t="shared" si="8"/>
        <v>9.355806203537556</v>
      </c>
      <c r="AF13" s="77">
        <f t="shared" si="9"/>
        <v>7.9341193270000012</v>
      </c>
      <c r="AG13" s="78">
        <v>1.6469999999999999E-2</v>
      </c>
      <c r="AH13" s="77">
        <v>486</v>
      </c>
      <c r="AI13" s="77">
        <v>78.900000000000006</v>
      </c>
      <c r="AJ13" s="77">
        <v>8.4</v>
      </c>
      <c r="AK13" s="77">
        <v>3.8800000000000003</v>
      </c>
    </row>
    <row r="14" spans="1:37" x14ac:dyDescent="0.3">
      <c r="A14" s="74" t="s">
        <v>425</v>
      </c>
      <c r="B14" s="74">
        <v>17.118435999999999</v>
      </c>
      <c r="C14" s="74">
        <v>74.357557999999997</v>
      </c>
      <c r="D14" s="74" t="s">
        <v>184</v>
      </c>
      <c r="E14" s="74">
        <v>7.58</v>
      </c>
      <c r="F14" s="74">
        <v>100.1</v>
      </c>
      <c r="G14" s="74">
        <v>1262</v>
      </c>
      <c r="H14" s="74">
        <v>26.38</v>
      </c>
      <c r="I14" s="74">
        <v>631</v>
      </c>
      <c r="J14" s="74">
        <v>1.42</v>
      </c>
      <c r="K14" s="74">
        <v>0.57999999999999996</v>
      </c>
      <c r="L14" s="79">
        <v>2.0000000000000001E-4</v>
      </c>
      <c r="M14" s="74">
        <v>2.5799999999999996</v>
      </c>
      <c r="N14" s="79">
        <v>0.16</v>
      </c>
      <c r="O14" s="79">
        <v>1.3</v>
      </c>
      <c r="P14" s="80">
        <v>1160</v>
      </c>
      <c r="Q14" s="81">
        <f t="shared" si="0"/>
        <v>19.011157582829647</v>
      </c>
      <c r="R14" s="74">
        <v>2.5999999999999996</v>
      </c>
      <c r="S14" s="75">
        <f t="shared" si="1"/>
        <v>5.4132833645638131E-2</v>
      </c>
      <c r="T14" s="77">
        <v>665.35</v>
      </c>
      <c r="U14" s="77">
        <f t="shared" si="2"/>
        <v>33.202754628474473</v>
      </c>
      <c r="V14" s="77">
        <f t="shared" si="3"/>
        <v>14.464110185000001</v>
      </c>
      <c r="W14" s="77">
        <v>5.6</v>
      </c>
      <c r="X14" s="77">
        <f t="shared" si="4"/>
        <v>0.15796897038081803</v>
      </c>
      <c r="Y14" s="77">
        <f t="shared" si="5"/>
        <v>0.12173895999999999</v>
      </c>
      <c r="Z14" s="77">
        <v>24.77</v>
      </c>
      <c r="AA14" s="77">
        <f t="shared" si="6"/>
        <v>1.0774249673771206</v>
      </c>
      <c r="AB14" s="77">
        <v>12.9</v>
      </c>
      <c r="AC14" s="77">
        <f t="shared" si="7"/>
        <v>0.33068443988720841</v>
      </c>
      <c r="AD14" s="77">
        <v>387.38</v>
      </c>
      <c r="AE14" s="77">
        <f t="shared" si="8"/>
        <v>9.9302742886439379</v>
      </c>
      <c r="AF14" s="77">
        <f t="shared" si="9"/>
        <v>8.4212925579999993</v>
      </c>
      <c r="AG14" s="78">
        <v>2.147E-2</v>
      </c>
      <c r="AH14" s="77">
        <v>346</v>
      </c>
      <c r="AI14" s="77">
        <v>70.8</v>
      </c>
      <c r="AJ14" s="77">
        <v>8.1999999999999993</v>
      </c>
      <c r="AK14" s="77">
        <v>2.5799999999999996</v>
      </c>
    </row>
    <row r="15" spans="1:37" x14ac:dyDescent="0.3">
      <c r="A15" s="74" t="s">
        <v>426</v>
      </c>
      <c r="B15" s="74">
        <v>17.115617</v>
      </c>
      <c r="C15" s="74">
        <v>74.347200000000001</v>
      </c>
      <c r="D15" s="74" t="s">
        <v>189</v>
      </c>
      <c r="E15" s="74">
        <v>7.85</v>
      </c>
      <c r="F15" s="74">
        <v>94.5</v>
      </c>
      <c r="G15" s="74">
        <v>1334</v>
      </c>
      <c r="H15" s="74">
        <v>26.42</v>
      </c>
      <c r="I15" s="74">
        <v>667</v>
      </c>
      <c r="J15" s="74">
        <v>1.42</v>
      </c>
      <c r="K15" s="74">
        <v>0.83</v>
      </c>
      <c r="L15" s="79">
        <v>2.9999999999999997E-4</v>
      </c>
      <c r="M15" s="74">
        <v>4.68</v>
      </c>
      <c r="N15" s="79">
        <v>0.84</v>
      </c>
      <c r="O15" s="79">
        <v>0.51</v>
      </c>
      <c r="P15" s="80">
        <v>846</v>
      </c>
      <c r="Q15" s="81">
        <f t="shared" si="0"/>
        <v>13.865033892305069</v>
      </c>
      <c r="R15" s="74">
        <v>3</v>
      </c>
      <c r="S15" s="75">
        <f t="shared" si="1"/>
        <v>6.2460961898813241E-2</v>
      </c>
      <c r="T15" s="77">
        <v>553.67999999999995</v>
      </c>
      <c r="U15" s="77">
        <f t="shared" si="2"/>
        <v>27.6301212635361</v>
      </c>
      <c r="V15" s="77">
        <f t="shared" si="3"/>
        <v>12.036504888</v>
      </c>
      <c r="W15" s="77">
        <v>6</v>
      </c>
      <c r="X15" s="77">
        <f t="shared" si="4"/>
        <v>0.16925246826516219</v>
      </c>
      <c r="Y15" s="77">
        <f t="shared" si="5"/>
        <v>0.13043460000000001</v>
      </c>
      <c r="Z15" s="77">
        <v>31.56</v>
      </c>
      <c r="AA15" s="77">
        <f t="shared" si="6"/>
        <v>1.3727707698999565</v>
      </c>
      <c r="AB15" s="77">
        <v>22.87</v>
      </c>
      <c r="AC15" s="77">
        <f t="shared" si="7"/>
        <v>0.58625993335042303</v>
      </c>
      <c r="AD15" s="77">
        <v>267.49</v>
      </c>
      <c r="AE15" s="77">
        <f t="shared" si="8"/>
        <v>6.8569597539092548</v>
      </c>
      <c r="AF15" s="77">
        <f t="shared" si="9"/>
        <v>5.814991859</v>
      </c>
      <c r="AG15" s="78">
        <v>3.0699999999999998E-3</v>
      </c>
      <c r="AH15" s="77">
        <v>398</v>
      </c>
      <c r="AI15" s="77">
        <v>56.1</v>
      </c>
      <c r="AJ15" s="77">
        <v>10.4</v>
      </c>
      <c r="AK15" s="77">
        <v>4.68</v>
      </c>
    </row>
    <row r="16" spans="1:37" x14ac:dyDescent="0.3">
      <c r="A16" s="74" t="s">
        <v>427</v>
      </c>
      <c r="B16" s="74">
        <v>17.12358</v>
      </c>
      <c r="C16" s="74">
        <v>74.344516999999996</v>
      </c>
      <c r="D16" s="74" t="s">
        <v>199</v>
      </c>
      <c r="E16" s="74">
        <v>7.68</v>
      </c>
      <c r="F16" s="74">
        <v>108.6</v>
      </c>
      <c r="G16" s="74">
        <v>188</v>
      </c>
      <c r="H16" s="74">
        <v>26.42</v>
      </c>
      <c r="I16" s="74">
        <v>93</v>
      </c>
      <c r="J16" s="74">
        <v>1.42</v>
      </c>
      <c r="K16" s="74">
        <v>0.31</v>
      </c>
      <c r="L16" s="79">
        <v>1E-4</v>
      </c>
      <c r="M16" s="74">
        <v>4.18</v>
      </c>
      <c r="N16" s="74">
        <v>0.11</v>
      </c>
      <c r="O16" s="79">
        <v>1.2</v>
      </c>
      <c r="P16" s="80">
        <v>880</v>
      </c>
      <c r="Q16" s="81">
        <f t="shared" si="0"/>
        <v>14.422257476629387</v>
      </c>
      <c r="R16" s="74">
        <v>3.9000000000000004</v>
      </c>
      <c r="S16" s="75">
        <f t="shared" si="1"/>
        <v>8.1199250468457218E-2</v>
      </c>
      <c r="T16" s="77">
        <v>590.71</v>
      </c>
      <c r="U16" s="77">
        <f t="shared" si="2"/>
        <v>29.478017865162933</v>
      </c>
      <c r="V16" s="77">
        <f t="shared" si="3"/>
        <v>12.841503761000002</v>
      </c>
      <c r="W16" s="77">
        <v>6.9</v>
      </c>
      <c r="X16" s="77">
        <f t="shared" si="4"/>
        <v>0.19464033850493653</v>
      </c>
      <c r="Y16" s="77">
        <f t="shared" si="5"/>
        <v>0.14999979000000002</v>
      </c>
      <c r="Z16" s="77">
        <v>21.9</v>
      </c>
      <c r="AA16" s="77">
        <f t="shared" si="6"/>
        <v>0.95258808177468468</v>
      </c>
      <c r="AB16" s="77">
        <v>11.87</v>
      </c>
      <c r="AC16" s="77">
        <f t="shared" si="7"/>
        <v>0.30428095360164059</v>
      </c>
      <c r="AD16" s="77">
        <v>212.35</v>
      </c>
      <c r="AE16" s="77">
        <f t="shared" si="8"/>
        <v>5.4434760317867212</v>
      </c>
      <c r="AF16" s="77">
        <f t="shared" si="9"/>
        <v>4.6162978849999998</v>
      </c>
      <c r="AG16" s="78">
        <v>7.4700000000000001E-3</v>
      </c>
      <c r="AH16" s="77">
        <v>438</v>
      </c>
      <c r="AI16" s="77">
        <v>47.4</v>
      </c>
      <c r="AJ16" s="77">
        <v>13.4</v>
      </c>
      <c r="AK16" s="77">
        <v>4.18</v>
      </c>
    </row>
    <row r="17" spans="1:37" x14ac:dyDescent="0.3">
      <c r="A17" s="74" t="s">
        <v>428</v>
      </c>
      <c r="B17" s="74">
        <v>17.126370000000001</v>
      </c>
      <c r="C17" s="74">
        <v>74.834866000000005</v>
      </c>
      <c r="D17" s="74" t="s">
        <v>254</v>
      </c>
      <c r="E17" s="74">
        <v>7.37</v>
      </c>
      <c r="F17" s="74">
        <v>116.7</v>
      </c>
      <c r="G17" s="74">
        <v>494</v>
      </c>
      <c r="H17" s="74">
        <v>26.46</v>
      </c>
      <c r="I17" s="74">
        <v>247</v>
      </c>
      <c r="J17" s="74">
        <v>1.42</v>
      </c>
      <c r="K17" s="74">
        <v>0.68</v>
      </c>
      <c r="L17" s="79">
        <v>2.9999999999999997E-4</v>
      </c>
      <c r="M17" s="74">
        <v>1.3800000000000003</v>
      </c>
      <c r="N17" s="74">
        <v>0.62</v>
      </c>
      <c r="O17" s="79">
        <v>1.64</v>
      </c>
      <c r="P17" s="80">
        <v>754</v>
      </c>
      <c r="Q17" s="81">
        <f t="shared" si="0"/>
        <v>12.357252428839271</v>
      </c>
      <c r="R17" s="74">
        <v>5.1999999999999993</v>
      </c>
      <c r="S17" s="75">
        <f t="shared" si="1"/>
        <v>0.10826566729127626</v>
      </c>
      <c r="T17" s="77">
        <v>422.37</v>
      </c>
      <c r="U17" s="77">
        <f t="shared" si="2"/>
        <v>21.077399071809968</v>
      </c>
      <c r="V17" s="77">
        <f t="shared" si="3"/>
        <v>9.1819436670000005</v>
      </c>
      <c r="W17" s="77">
        <v>8.1999999999999993</v>
      </c>
      <c r="X17" s="77">
        <f t="shared" si="4"/>
        <v>0.23131170662905498</v>
      </c>
      <c r="Y17" s="77">
        <f t="shared" si="5"/>
        <v>0.17826061999999998</v>
      </c>
      <c r="Z17" s="77">
        <v>10.33</v>
      </c>
      <c r="AA17" s="77">
        <f t="shared" si="6"/>
        <v>0.44932579382340149</v>
      </c>
      <c r="AB17" s="77">
        <v>16.850000000000001</v>
      </c>
      <c r="AC17" s="77">
        <f t="shared" si="7"/>
        <v>0.43194052806972577</v>
      </c>
      <c r="AD17" s="77">
        <v>381.38</v>
      </c>
      <c r="AE17" s="77">
        <f t="shared" si="8"/>
        <v>9.7764675724173298</v>
      </c>
      <c r="AF17" s="77">
        <f t="shared" si="9"/>
        <v>8.2908579580000001</v>
      </c>
      <c r="AG17" s="78">
        <v>3.1700000000000001E-3</v>
      </c>
      <c r="AH17" s="77">
        <v>390</v>
      </c>
      <c r="AI17" s="77">
        <v>78.900000000000006</v>
      </c>
      <c r="AJ17" s="77">
        <v>8.3000000000000007</v>
      </c>
      <c r="AK17" s="77">
        <v>1.3800000000000003</v>
      </c>
    </row>
    <row r="18" spans="1:37" x14ac:dyDescent="0.3">
      <c r="A18" s="74" t="s">
        <v>429</v>
      </c>
      <c r="B18" s="74">
        <v>17.128625</v>
      </c>
      <c r="C18" s="74">
        <v>74.351336000000003</v>
      </c>
      <c r="D18" s="74" t="s">
        <v>194</v>
      </c>
      <c r="E18" s="74">
        <v>7.49</v>
      </c>
      <c r="F18" s="74">
        <v>115.7</v>
      </c>
      <c r="G18" s="74">
        <v>825</v>
      </c>
      <c r="H18" s="74">
        <v>26.48</v>
      </c>
      <c r="I18" s="74">
        <v>413</v>
      </c>
      <c r="J18" s="74">
        <v>1.42</v>
      </c>
      <c r="K18" s="74">
        <v>0.54</v>
      </c>
      <c r="L18" s="79">
        <v>6.9999999999999999E-4</v>
      </c>
      <c r="M18" s="74">
        <v>3.0799999999999996</v>
      </c>
      <c r="N18" s="74">
        <v>0.33</v>
      </c>
      <c r="O18" s="79">
        <v>2.11</v>
      </c>
      <c r="P18" s="80">
        <v>641</v>
      </c>
      <c r="Q18" s="81">
        <f t="shared" si="0"/>
        <v>10.50530345740845</v>
      </c>
      <c r="R18" s="74">
        <v>2.4000000000000004</v>
      </c>
      <c r="S18" s="75">
        <f t="shared" si="1"/>
        <v>4.9968769519050597E-2</v>
      </c>
      <c r="T18" s="77">
        <v>398.61</v>
      </c>
      <c r="U18" s="77">
        <f t="shared" si="2"/>
        <v>19.891711163231697</v>
      </c>
      <c r="V18" s="77">
        <f t="shared" si="3"/>
        <v>8.6654226510000001</v>
      </c>
      <c r="W18" s="77">
        <v>5.4</v>
      </c>
      <c r="X18" s="77">
        <f t="shared" si="4"/>
        <v>0.15232722143864597</v>
      </c>
      <c r="Y18" s="77">
        <f t="shared" si="5"/>
        <v>0.11739114000000002</v>
      </c>
      <c r="Z18" s="77">
        <v>12.05</v>
      </c>
      <c r="AA18" s="77">
        <f t="shared" si="6"/>
        <v>0.52414093083949553</v>
      </c>
      <c r="AB18" s="77">
        <v>22.85</v>
      </c>
      <c r="AC18" s="77">
        <f t="shared" si="7"/>
        <v>0.58574724429633429</v>
      </c>
      <c r="AD18" s="77">
        <v>183.88</v>
      </c>
      <c r="AE18" s="77">
        <f t="shared" si="8"/>
        <v>4.7136631632914643</v>
      </c>
      <c r="AF18" s="77">
        <f t="shared" si="9"/>
        <v>3.9973857079999999</v>
      </c>
      <c r="AG18" s="78">
        <v>4.2699999999999995E-3</v>
      </c>
      <c r="AH18" s="77">
        <v>438</v>
      </c>
      <c r="AI18" s="77">
        <v>66.3</v>
      </c>
      <c r="AJ18" s="77">
        <v>11.2</v>
      </c>
      <c r="AK18" s="77">
        <v>3.0799999999999996</v>
      </c>
    </row>
    <row r="19" spans="1:37" x14ac:dyDescent="0.3">
      <c r="A19" s="74" t="s">
        <v>430</v>
      </c>
      <c r="B19" s="74">
        <v>17.128233999999999</v>
      </c>
      <c r="C19" s="74">
        <v>74.356497000000005</v>
      </c>
      <c r="D19" s="74" t="s">
        <v>220</v>
      </c>
      <c r="E19" s="74">
        <v>7.38</v>
      </c>
      <c r="F19" s="74">
        <v>109.2</v>
      </c>
      <c r="G19" s="74">
        <v>919</v>
      </c>
      <c r="H19" s="74">
        <v>26.44</v>
      </c>
      <c r="I19" s="74">
        <v>460</v>
      </c>
      <c r="J19" s="74">
        <v>1.42</v>
      </c>
      <c r="K19" s="74">
        <v>0.18</v>
      </c>
      <c r="L19" s="79">
        <v>2.0000000000000001E-4</v>
      </c>
      <c r="M19" s="74">
        <v>1.2799999999999998</v>
      </c>
      <c r="N19" s="74">
        <v>1.2E-2</v>
      </c>
      <c r="O19" s="79">
        <v>3.61</v>
      </c>
      <c r="P19" s="80">
        <v>724</v>
      </c>
      <c r="Q19" s="81">
        <f t="shared" si="0"/>
        <v>11.865584560317814</v>
      </c>
      <c r="R19" s="74">
        <v>4.0999999999999996</v>
      </c>
      <c r="S19" s="75">
        <f t="shared" si="1"/>
        <v>8.5363314595044759E-2</v>
      </c>
      <c r="T19" s="77">
        <v>385.78</v>
      </c>
      <c r="U19" s="77">
        <f t="shared" si="2"/>
        <v>19.25145965367533</v>
      </c>
      <c r="V19" s="77">
        <f t="shared" si="3"/>
        <v>8.3865099979999993</v>
      </c>
      <c r="W19" s="77">
        <v>7.1</v>
      </c>
      <c r="X19" s="77">
        <f t="shared" si="4"/>
        <v>0.20028208744710857</v>
      </c>
      <c r="Y19" s="77">
        <f t="shared" si="5"/>
        <v>0.15434761</v>
      </c>
      <c r="Z19" s="77">
        <v>10.77</v>
      </c>
      <c r="AA19" s="77">
        <f t="shared" si="6"/>
        <v>0.46846454980426272</v>
      </c>
      <c r="AB19" s="77">
        <v>32.869999999999997</v>
      </c>
      <c r="AC19" s="77">
        <f t="shared" si="7"/>
        <v>0.84260446039477055</v>
      </c>
      <c r="AD19" s="77">
        <v>237.45</v>
      </c>
      <c r="AE19" s="77">
        <f t="shared" si="8"/>
        <v>6.0869007946680336</v>
      </c>
      <c r="AF19" s="77">
        <f t="shared" si="9"/>
        <v>5.1619492950000003</v>
      </c>
      <c r="AG19" s="78">
        <v>4.5699999999999994E-3</v>
      </c>
      <c r="AH19" s="77">
        <v>338</v>
      </c>
      <c r="AI19" s="77">
        <v>83.8</v>
      </c>
      <c r="AJ19" s="77">
        <v>8.6999999999999993</v>
      </c>
      <c r="AK19" s="77">
        <v>1.2799999999999998</v>
      </c>
    </row>
    <row r="20" spans="1:37" x14ac:dyDescent="0.3">
      <c r="A20" s="74" t="s">
        <v>431</v>
      </c>
      <c r="B20" s="74">
        <v>17.351310000000002</v>
      </c>
      <c r="C20" s="74">
        <v>74.356785000000002</v>
      </c>
      <c r="D20" s="74" t="s">
        <v>224</v>
      </c>
      <c r="E20" s="74">
        <v>7.22</v>
      </c>
      <c r="F20" s="74">
        <v>119.3</v>
      </c>
      <c r="G20" s="74">
        <v>652</v>
      </c>
      <c r="H20" s="74">
        <v>26.46</v>
      </c>
      <c r="I20" s="74">
        <v>326</v>
      </c>
      <c r="J20" s="74">
        <v>1.42</v>
      </c>
      <c r="K20" s="74">
        <v>0.62</v>
      </c>
      <c r="L20" s="79">
        <v>1E-4</v>
      </c>
      <c r="M20" s="74">
        <v>4.7800000000000011</v>
      </c>
      <c r="N20" s="74">
        <v>0.15</v>
      </c>
      <c r="O20" s="79">
        <v>0.8</v>
      </c>
      <c r="P20" s="80">
        <v>780</v>
      </c>
      <c r="Q20" s="81">
        <f t="shared" si="0"/>
        <v>12.783364581557866</v>
      </c>
      <c r="R20" s="74">
        <v>3.0999999999999996</v>
      </c>
      <c r="S20" s="75">
        <f t="shared" si="1"/>
        <v>6.4542993962107012E-2</v>
      </c>
      <c r="T20" s="77">
        <v>313.76</v>
      </c>
      <c r="U20" s="77">
        <f t="shared" si="2"/>
        <v>15.657467937521831</v>
      </c>
      <c r="V20" s="77">
        <f t="shared" si="3"/>
        <v>6.8208600160000001</v>
      </c>
      <c r="W20" s="77">
        <v>6.1</v>
      </c>
      <c r="X20" s="77">
        <f t="shared" si="4"/>
        <v>0.17207334273624822</v>
      </c>
      <c r="Y20" s="77">
        <f t="shared" si="5"/>
        <v>0.13260850999999999</v>
      </c>
      <c r="Z20" s="77">
        <v>16.36</v>
      </c>
      <c r="AA20" s="77">
        <f t="shared" si="6"/>
        <v>0.71161374510656805</v>
      </c>
      <c r="AB20" s="77">
        <v>16.95</v>
      </c>
      <c r="AC20" s="77">
        <f t="shared" si="7"/>
        <v>0.43450397334016921</v>
      </c>
      <c r="AD20" s="77">
        <v>408.91</v>
      </c>
      <c r="AE20" s="77">
        <f t="shared" si="8"/>
        <v>10.48218405537042</v>
      </c>
      <c r="AF20" s="77">
        <f t="shared" si="9"/>
        <v>8.8893353810000004</v>
      </c>
      <c r="AG20" s="78">
        <v>5.5700000000000003E-3</v>
      </c>
      <c r="AH20" s="77">
        <v>458</v>
      </c>
      <c r="AI20" s="77">
        <v>74.7</v>
      </c>
      <c r="AJ20" s="77">
        <v>9.6999999999999993</v>
      </c>
      <c r="AK20" s="77">
        <v>4.7800000000000011</v>
      </c>
    </row>
    <row r="21" spans="1:37" x14ac:dyDescent="0.3">
      <c r="A21" s="74" t="s">
        <v>432</v>
      </c>
      <c r="B21" s="74">
        <v>17.133844</v>
      </c>
      <c r="C21" s="74">
        <v>74.360124999999996</v>
      </c>
      <c r="D21" s="74" t="s">
        <v>230</v>
      </c>
      <c r="E21" s="74">
        <v>7.81</v>
      </c>
      <c r="F21" s="74">
        <v>128.1</v>
      </c>
      <c r="G21" s="74">
        <v>666</v>
      </c>
      <c r="H21" s="74">
        <v>26.43</v>
      </c>
      <c r="I21" s="74">
        <v>333</v>
      </c>
      <c r="J21" s="74">
        <v>1.42</v>
      </c>
      <c r="K21" s="74">
        <v>0.41</v>
      </c>
      <c r="L21" s="79">
        <v>2.9999999999999997E-4</v>
      </c>
      <c r="M21" s="74">
        <v>1.2799999999999998</v>
      </c>
      <c r="N21" s="74">
        <v>0.21</v>
      </c>
      <c r="O21" s="79">
        <v>1.3</v>
      </c>
      <c r="P21" s="80">
        <v>600</v>
      </c>
      <c r="Q21" s="81">
        <f t="shared" si="0"/>
        <v>9.8333573704291268</v>
      </c>
      <c r="R21" s="74">
        <v>5.3000000000000007</v>
      </c>
      <c r="S21" s="75">
        <f t="shared" si="1"/>
        <v>0.11034769935457008</v>
      </c>
      <c r="T21" s="77">
        <v>21.63</v>
      </c>
      <c r="U21" s="77">
        <f t="shared" si="2"/>
        <v>1.0793951794001695</v>
      </c>
      <c r="V21" s="77">
        <f t="shared" si="3"/>
        <v>0.470216733</v>
      </c>
      <c r="W21" s="77">
        <v>8.3000000000000007</v>
      </c>
      <c r="X21" s="77">
        <f t="shared" si="4"/>
        <v>0.23413258110014104</v>
      </c>
      <c r="Y21" s="77">
        <f t="shared" si="5"/>
        <v>0.18043453000000001</v>
      </c>
      <c r="Z21" s="77">
        <v>14.71</v>
      </c>
      <c r="AA21" s="77">
        <f t="shared" si="6"/>
        <v>0.63984341017833846</v>
      </c>
      <c r="AB21" s="77">
        <v>19.739999999999998</v>
      </c>
      <c r="AC21" s="77">
        <f t="shared" si="7"/>
        <v>0.50602409638554213</v>
      </c>
      <c r="AD21" s="77">
        <v>538.03</v>
      </c>
      <c r="AE21" s="77">
        <f t="shared" si="8"/>
        <v>13.792104588567033</v>
      </c>
      <c r="AF21" s="77">
        <f t="shared" si="9"/>
        <v>11.696287973</v>
      </c>
      <c r="AG21" s="78">
        <v>2.7699999999999999E-3</v>
      </c>
      <c r="AH21" s="77">
        <v>378</v>
      </c>
      <c r="AI21" s="77">
        <v>63.4</v>
      </c>
      <c r="AJ21" s="77">
        <v>10.1</v>
      </c>
      <c r="AK21" s="77">
        <v>1.2799999999999998</v>
      </c>
    </row>
    <row r="22" spans="1:37" x14ac:dyDescent="0.3">
      <c r="A22" s="74" t="s">
        <v>433</v>
      </c>
      <c r="B22" s="74">
        <v>17.114488000000001</v>
      </c>
      <c r="C22" s="74">
        <v>74.332769999999996</v>
      </c>
      <c r="D22" s="74" t="s">
        <v>434</v>
      </c>
      <c r="E22" s="74">
        <v>7.27</v>
      </c>
      <c r="F22" s="74">
        <v>134.4</v>
      </c>
      <c r="G22" s="74">
        <v>770</v>
      </c>
      <c r="H22" s="74">
        <v>26.4</v>
      </c>
      <c r="I22" s="74">
        <v>385</v>
      </c>
      <c r="J22" s="74">
        <v>1.42</v>
      </c>
      <c r="K22" s="74">
        <v>0.22</v>
      </c>
      <c r="L22" s="79">
        <v>1E-4</v>
      </c>
      <c r="M22" s="74">
        <v>4.18</v>
      </c>
      <c r="N22" s="74">
        <v>0.28999999999999998</v>
      </c>
      <c r="O22" s="79">
        <v>1.1200000000000001</v>
      </c>
      <c r="P22" s="80">
        <v>498</v>
      </c>
      <c r="Q22" s="81">
        <f t="shared" si="0"/>
        <v>8.1616866174561764</v>
      </c>
      <c r="R22" s="74">
        <v>2.0999999999999996</v>
      </c>
      <c r="S22" s="75">
        <f t="shared" si="1"/>
        <v>4.3722673329169258E-2</v>
      </c>
      <c r="T22" s="77">
        <v>262.57</v>
      </c>
      <c r="U22" s="77">
        <f t="shared" si="2"/>
        <v>13.102949248964517</v>
      </c>
      <c r="V22" s="77">
        <f t="shared" si="3"/>
        <v>5.7080354870000001</v>
      </c>
      <c r="W22" s="77">
        <v>5.0999999999999996</v>
      </c>
      <c r="X22" s="77">
        <f t="shared" si="4"/>
        <v>0.14386459802538784</v>
      </c>
      <c r="Y22" s="77">
        <f t="shared" si="5"/>
        <v>0.11086941</v>
      </c>
      <c r="Z22" s="77">
        <v>12.69</v>
      </c>
      <c r="AA22" s="77">
        <f t="shared" si="6"/>
        <v>0.5519791213571118</v>
      </c>
      <c r="AB22" s="77">
        <v>22.21</v>
      </c>
      <c r="AC22" s="77">
        <f t="shared" si="7"/>
        <v>0.56934119456549603</v>
      </c>
      <c r="AD22" s="77">
        <v>258.37</v>
      </c>
      <c r="AE22" s="77">
        <f t="shared" si="8"/>
        <v>6.6231735452448097</v>
      </c>
      <c r="AF22" s="77">
        <f t="shared" si="9"/>
        <v>5.6167312670000005</v>
      </c>
      <c r="AG22" s="78">
        <v>7.4700000000000001E-3</v>
      </c>
      <c r="AH22" s="77">
        <v>350</v>
      </c>
      <c r="AI22" s="77">
        <v>53.22</v>
      </c>
      <c r="AJ22" s="77">
        <v>10.8</v>
      </c>
      <c r="AK22" s="77">
        <v>4.18</v>
      </c>
    </row>
    <row r="23" spans="1:37" x14ac:dyDescent="0.3">
      <c r="A23" s="74" t="s">
        <v>435</v>
      </c>
      <c r="B23" s="74">
        <v>17.114318300000001</v>
      </c>
      <c r="C23" s="74">
        <v>74.321618000000001</v>
      </c>
      <c r="D23" s="74" t="s">
        <v>206</v>
      </c>
      <c r="E23" s="74">
        <v>7.34</v>
      </c>
      <c r="F23" s="74">
        <v>123.6</v>
      </c>
      <c r="G23" s="74">
        <v>770</v>
      </c>
      <c r="H23" s="74">
        <v>26.48</v>
      </c>
      <c r="I23" s="74">
        <v>341</v>
      </c>
      <c r="J23" s="74">
        <v>1.42</v>
      </c>
      <c r="K23" s="74">
        <v>0.79</v>
      </c>
      <c r="L23" s="79">
        <v>1E-4</v>
      </c>
      <c r="M23" s="74">
        <v>1.3800000000000003</v>
      </c>
      <c r="N23" s="74">
        <v>0.21</v>
      </c>
      <c r="O23" s="79">
        <v>0.84</v>
      </c>
      <c r="P23" s="80">
        <v>400</v>
      </c>
      <c r="Q23" s="81">
        <f t="shared" si="0"/>
        <v>6.5555715802860846</v>
      </c>
      <c r="R23" s="74">
        <v>3.5</v>
      </c>
      <c r="S23" s="75">
        <f t="shared" si="1"/>
        <v>7.2871122215282108E-2</v>
      </c>
      <c r="T23" s="77">
        <v>285.64999999999998</v>
      </c>
      <c r="U23" s="77">
        <f t="shared" si="2"/>
        <v>14.254703328509404</v>
      </c>
      <c r="V23" s="77">
        <f t="shared" si="3"/>
        <v>6.2097739149999995</v>
      </c>
      <c r="W23" s="77">
        <v>6.5</v>
      </c>
      <c r="X23" s="77">
        <f t="shared" si="4"/>
        <v>0.18335684062059238</v>
      </c>
      <c r="Y23" s="77">
        <f t="shared" si="5"/>
        <v>0.14130415000000002</v>
      </c>
      <c r="Z23" s="77">
        <v>12.62</v>
      </c>
      <c r="AA23" s="77">
        <f t="shared" si="6"/>
        <v>0.54893431926924752</v>
      </c>
      <c r="AB23" s="77">
        <v>36.729999999999997</v>
      </c>
      <c r="AC23" s="77">
        <f t="shared" si="7"/>
        <v>0.94155344783388872</v>
      </c>
      <c r="AD23" s="77">
        <v>117.43</v>
      </c>
      <c r="AE23" s="77">
        <f t="shared" si="8"/>
        <v>3.0102537810817744</v>
      </c>
      <c r="AF23" s="77">
        <f t="shared" si="9"/>
        <v>2.5528225130000002</v>
      </c>
      <c r="AG23" s="78">
        <v>3.1700000000000001E-3</v>
      </c>
      <c r="AH23" s="77">
        <v>320</v>
      </c>
      <c r="AI23" s="77">
        <v>72.8</v>
      </c>
      <c r="AJ23" s="77">
        <v>8.6999999999999993</v>
      </c>
      <c r="AK23" s="77">
        <v>1.3800000000000003</v>
      </c>
    </row>
    <row r="24" spans="1:37" x14ac:dyDescent="0.3">
      <c r="A24" s="74" t="s">
        <v>436</v>
      </c>
      <c r="B24" s="74">
        <v>17.11027</v>
      </c>
      <c r="C24" s="74">
        <v>74.274968000000001</v>
      </c>
      <c r="D24" s="74" t="s">
        <v>437</v>
      </c>
      <c r="E24" s="74">
        <v>7.41</v>
      </c>
      <c r="F24" s="74">
        <v>123.7</v>
      </c>
      <c r="G24" s="74">
        <v>531</v>
      </c>
      <c r="H24" s="74">
        <v>26.4</v>
      </c>
      <c r="I24" s="74">
        <v>265</v>
      </c>
      <c r="J24" s="74">
        <v>1.42</v>
      </c>
      <c r="K24" s="74">
        <v>0.83</v>
      </c>
      <c r="L24" s="79">
        <v>2.9999999999999997E-4</v>
      </c>
      <c r="M24" s="74">
        <v>3.0799999999999996</v>
      </c>
      <c r="N24" s="74">
        <v>0.27</v>
      </c>
      <c r="O24" s="79">
        <v>1.4</v>
      </c>
      <c r="P24" s="80">
        <v>572</v>
      </c>
      <c r="Q24" s="81">
        <f t="shared" si="0"/>
        <v>9.3744673598091008</v>
      </c>
      <c r="R24" s="74">
        <v>4.8</v>
      </c>
      <c r="S24" s="75">
        <f t="shared" si="1"/>
        <v>9.9937539038101181E-2</v>
      </c>
      <c r="T24" s="77">
        <v>424.54</v>
      </c>
      <c r="U24" s="77">
        <f t="shared" si="2"/>
        <v>21.18568790857827</v>
      </c>
      <c r="V24" s="77">
        <f t="shared" si="3"/>
        <v>9.2291175140000004</v>
      </c>
      <c r="W24" s="77">
        <v>7.4</v>
      </c>
      <c r="X24" s="77">
        <f t="shared" si="4"/>
        <v>0.20874471086036669</v>
      </c>
      <c r="Y24" s="77">
        <f t="shared" si="5"/>
        <v>0.16086934000000003</v>
      </c>
      <c r="Z24" s="77">
        <v>12.79</v>
      </c>
      <c r="AA24" s="77">
        <f t="shared" si="6"/>
        <v>0.55632883862548932</v>
      </c>
      <c r="AB24" s="77">
        <v>12.6</v>
      </c>
      <c r="AC24" s="77">
        <f t="shared" si="7"/>
        <v>0.32299410407587797</v>
      </c>
      <c r="AD24" s="77">
        <v>154.35</v>
      </c>
      <c r="AE24" s="77">
        <f t="shared" si="8"/>
        <v>3.9566777749295055</v>
      </c>
      <c r="AF24" s="77">
        <f t="shared" si="9"/>
        <v>3.3554300850000001</v>
      </c>
      <c r="AG24" s="78">
        <v>4.2699999999999995E-3</v>
      </c>
      <c r="AH24" s="77">
        <v>450</v>
      </c>
      <c r="AI24" s="77">
        <v>63.9</v>
      </c>
      <c r="AJ24" s="77">
        <v>6.8</v>
      </c>
      <c r="AK24" s="77">
        <v>3.0799999999999996</v>
      </c>
    </row>
    <row r="25" spans="1:37" x14ac:dyDescent="0.3">
      <c r="A25" s="74" t="s">
        <v>438</v>
      </c>
      <c r="B25" s="74">
        <v>16.987359999999999</v>
      </c>
      <c r="C25" s="74">
        <v>74.137619999999998</v>
      </c>
      <c r="D25" s="74" t="s">
        <v>439</v>
      </c>
      <c r="E25" s="74">
        <v>7.27</v>
      </c>
      <c r="F25" s="74">
        <v>130.9</v>
      </c>
      <c r="G25" s="74">
        <v>389</v>
      </c>
      <c r="H25" s="74">
        <v>26.38</v>
      </c>
      <c r="I25" s="74">
        <v>194</v>
      </c>
      <c r="J25" s="74">
        <v>1.42</v>
      </c>
      <c r="K25" s="74">
        <v>0.43</v>
      </c>
      <c r="L25" s="79">
        <v>2.0000000000000001E-4</v>
      </c>
      <c r="M25" s="74">
        <v>1.2799999999999998</v>
      </c>
      <c r="N25" s="74">
        <v>0.13</v>
      </c>
      <c r="O25" s="79">
        <v>1.03</v>
      </c>
      <c r="P25" s="80">
        <v>544</v>
      </c>
      <c r="Q25" s="81">
        <f t="shared" si="0"/>
        <v>8.9155773491890749</v>
      </c>
      <c r="R25" s="74">
        <v>1.6</v>
      </c>
      <c r="S25" s="75">
        <f t="shared" si="1"/>
        <v>3.3312513012700398E-2</v>
      </c>
      <c r="T25" s="77">
        <v>167.22</v>
      </c>
      <c r="U25" s="77">
        <f t="shared" si="2"/>
        <v>8.3447277808273856</v>
      </c>
      <c r="V25" s="77">
        <f t="shared" si="3"/>
        <v>3.6352123020000002</v>
      </c>
      <c r="W25" s="77">
        <v>2.6</v>
      </c>
      <c r="X25" s="77">
        <f t="shared" si="4"/>
        <v>7.334273624823695E-2</v>
      </c>
      <c r="Y25" s="77">
        <f t="shared" si="5"/>
        <v>5.6521660000000001E-2</v>
      </c>
      <c r="Z25" s="77">
        <v>16.97</v>
      </c>
      <c r="AA25" s="77">
        <f t="shared" si="6"/>
        <v>0.7381470204436712</v>
      </c>
      <c r="AB25" s="77">
        <v>11.959999999999999</v>
      </c>
      <c r="AC25" s="77">
        <f t="shared" si="7"/>
        <v>0.30658805434503972</v>
      </c>
      <c r="AD25" s="77">
        <v>339.46</v>
      </c>
      <c r="AE25" s="77">
        <f t="shared" si="8"/>
        <v>8.7018713150474234</v>
      </c>
      <c r="AF25" s="77">
        <f t="shared" si="9"/>
        <v>7.3795548860000002</v>
      </c>
      <c r="AG25" s="78">
        <v>4.5699999999999994E-3</v>
      </c>
      <c r="AH25" s="77">
        <v>318</v>
      </c>
      <c r="AI25" s="77">
        <v>55.64</v>
      </c>
      <c r="AJ25" s="77">
        <v>7.6</v>
      </c>
      <c r="AK25" s="77">
        <v>1.2799999999999998</v>
      </c>
    </row>
    <row r="26" spans="1:37" x14ac:dyDescent="0.3">
      <c r="A26" s="74" t="s">
        <v>440</v>
      </c>
      <c r="B26" s="74">
        <v>17.164625000000001</v>
      </c>
      <c r="C26" s="74">
        <v>74.263722000000001</v>
      </c>
      <c r="D26" s="74" t="s">
        <v>224</v>
      </c>
      <c r="E26" s="74">
        <v>7.17</v>
      </c>
      <c r="F26" s="74">
        <v>138.19999999999999</v>
      </c>
      <c r="G26" s="74">
        <v>408</v>
      </c>
      <c r="H26" s="74">
        <v>26.39</v>
      </c>
      <c r="I26" s="74">
        <v>204</v>
      </c>
      <c r="J26" s="74">
        <v>1.43</v>
      </c>
      <c r="K26" s="74">
        <v>0.31</v>
      </c>
      <c r="L26" s="79">
        <v>1E-4</v>
      </c>
      <c r="M26" s="74">
        <v>4.7800000000000011</v>
      </c>
      <c r="N26" s="74">
        <v>0.17</v>
      </c>
      <c r="O26" s="79">
        <v>1.8</v>
      </c>
      <c r="P26" s="80">
        <v>603</v>
      </c>
      <c r="Q26" s="81">
        <f t="shared" si="0"/>
        <v>9.8825241572812725</v>
      </c>
      <c r="R26" s="74">
        <v>1.9</v>
      </c>
      <c r="S26" s="75">
        <f t="shared" si="1"/>
        <v>3.9558609202581717E-2</v>
      </c>
      <c r="T26" s="77">
        <v>197.79</v>
      </c>
      <c r="U26" s="77">
        <f t="shared" si="2"/>
        <v>9.8702530066370571</v>
      </c>
      <c r="V26" s="77">
        <f t="shared" si="3"/>
        <v>4.2997765890000004</v>
      </c>
      <c r="W26" s="77">
        <v>4.9000000000000004</v>
      </c>
      <c r="X26" s="77">
        <f t="shared" si="4"/>
        <v>0.1382228490832158</v>
      </c>
      <c r="Y26" s="77">
        <f t="shared" si="5"/>
        <v>0.10652159000000001</v>
      </c>
      <c r="Z26" s="77">
        <v>15.11</v>
      </c>
      <c r="AA26" s="77">
        <f t="shared" si="6"/>
        <v>0.65724227925184864</v>
      </c>
      <c r="AB26" s="77">
        <v>12.11</v>
      </c>
      <c r="AC26" s="77">
        <f t="shared" si="7"/>
        <v>0.31043322225070497</v>
      </c>
      <c r="AD26" s="77">
        <v>336.78</v>
      </c>
      <c r="AE26" s="77">
        <f t="shared" si="8"/>
        <v>8.6331709817995375</v>
      </c>
      <c r="AF26" s="77">
        <f t="shared" si="9"/>
        <v>7.3212940980000001</v>
      </c>
      <c r="AG26" s="78">
        <v>2.47E-3</v>
      </c>
      <c r="AH26" s="77">
        <v>338</v>
      </c>
      <c r="AI26" s="77">
        <v>45.1</v>
      </c>
      <c r="AJ26" s="77">
        <v>8</v>
      </c>
      <c r="AK26" s="77">
        <v>4.7800000000000011</v>
      </c>
    </row>
    <row r="27" spans="1:37" x14ac:dyDescent="0.3">
      <c r="A27" s="74" t="s">
        <v>441</v>
      </c>
      <c r="B27" s="74">
        <v>16.983452</v>
      </c>
      <c r="C27" s="74">
        <v>74.132035000000002</v>
      </c>
      <c r="D27" s="74" t="s">
        <v>316</v>
      </c>
      <c r="E27" s="74">
        <v>7.14</v>
      </c>
      <c r="F27" s="74">
        <v>137.9</v>
      </c>
      <c r="G27" s="74">
        <v>368</v>
      </c>
      <c r="H27" s="74">
        <v>26.41</v>
      </c>
      <c r="I27" s="74">
        <v>184</v>
      </c>
      <c r="J27" s="74">
        <v>1.42</v>
      </c>
      <c r="K27" s="74">
        <v>0.24</v>
      </c>
      <c r="L27" s="79">
        <v>1E-4</v>
      </c>
      <c r="M27" s="74">
        <v>1.5799999999999996</v>
      </c>
      <c r="N27" s="74">
        <v>0.10199999999999999</v>
      </c>
      <c r="O27" s="79">
        <v>2.6</v>
      </c>
      <c r="P27" s="80">
        <v>831</v>
      </c>
      <c r="Q27" s="81">
        <f t="shared" si="0"/>
        <v>13.619199958044341</v>
      </c>
      <c r="R27" s="74">
        <v>0.79999999999999982</v>
      </c>
      <c r="S27" s="75">
        <f t="shared" si="1"/>
        <v>1.6656256506350192E-2</v>
      </c>
      <c r="T27" s="77">
        <v>85.65</v>
      </c>
      <c r="U27" s="77">
        <f t="shared" si="2"/>
        <v>4.2741653775138477</v>
      </c>
      <c r="V27" s="77">
        <f t="shared" si="3"/>
        <v>1.8619539150000002</v>
      </c>
      <c r="W27" s="77">
        <v>3.8</v>
      </c>
      <c r="X27" s="77">
        <f t="shared" si="4"/>
        <v>0.10719322990126938</v>
      </c>
      <c r="Y27" s="77">
        <f t="shared" si="5"/>
        <v>8.2608580000000001E-2</v>
      </c>
      <c r="Z27" s="77">
        <v>11.04</v>
      </c>
      <c r="AA27" s="77">
        <f t="shared" si="6"/>
        <v>0.4802087864288821</v>
      </c>
      <c r="AB27" s="77">
        <v>41.11</v>
      </c>
      <c r="AC27" s="77">
        <f t="shared" si="7"/>
        <v>1.053832350679313</v>
      </c>
      <c r="AD27" s="77">
        <v>713.37</v>
      </c>
      <c r="AE27" s="77">
        <f t="shared" si="8"/>
        <v>18.286849525762626</v>
      </c>
      <c r="AF27" s="77">
        <f t="shared" si="9"/>
        <v>15.508021767000001</v>
      </c>
      <c r="AG27" s="78">
        <v>2.47E-3</v>
      </c>
      <c r="AH27" s="77">
        <v>398</v>
      </c>
      <c r="AI27" s="77">
        <v>44.4</v>
      </c>
      <c r="AJ27" s="77">
        <v>8.9</v>
      </c>
      <c r="AK27" s="77">
        <v>1.5799999999999996</v>
      </c>
    </row>
    <row r="28" spans="1:37" x14ac:dyDescent="0.3">
      <c r="A28" s="74" t="s">
        <v>442</v>
      </c>
      <c r="B28" s="74">
        <v>16.983225999999998</v>
      </c>
      <c r="C28" s="74">
        <v>74.131974999999997</v>
      </c>
      <c r="D28" s="74" t="s">
        <v>224</v>
      </c>
      <c r="E28" s="74">
        <v>7.09</v>
      </c>
      <c r="F28" s="74">
        <v>143</v>
      </c>
      <c r="G28" s="74">
        <v>436</v>
      </c>
      <c r="H28" s="74">
        <v>26.44</v>
      </c>
      <c r="I28" s="74">
        <v>218</v>
      </c>
      <c r="J28" s="74">
        <v>1.43</v>
      </c>
      <c r="K28" s="74">
        <v>0.83</v>
      </c>
      <c r="L28" s="79">
        <v>1E-4</v>
      </c>
      <c r="M28" s="74">
        <v>2.98</v>
      </c>
      <c r="N28" s="74">
        <v>0.03</v>
      </c>
      <c r="O28" s="79">
        <v>1.3</v>
      </c>
      <c r="P28" s="80">
        <v>460</v>
      </c>
      <c r="Q28" s="81">
        <f t="shared" si="0"/>
        <v>7.5389073173289978</v>
      </c>
      <c r="R28" s="74">
        <v>4.8</v>
      </c>
      <c r="S28" s="75">
        <f t="shared" si="1"/>
        <v>9.9937539038101181E-2</v>
      </c>
      <c r="T28" s="77">
        <v>39.61</v>
      </c>
      <c r="U28" s="77">
        <f t="shared" si="2"/>
        <v>1.9766455411946702</v>
      </c>
      <c r="V28" s="77">
        <f t="shared" si="3"/>
        <v>0.86108575100000007</v>
      </c>
      <c r="W28" s="77">
        <v>7.8</v>
      </c>
      <c r="X28" s="77">
        <f t="shared" si="4"/>
        <v>0.22002820874471085</v>
      </c>
      <c r="Y28" s="77">
        <f t="shared" si="5"/>
        <v>0.16956498</v>
      </c>
      <c r="Z28" s="77">
        <v>20.47</v>
      </c>
      <c r="AA28" s="77">
        <f t="shared" si="6"/>
        <v>0.89038712483688565</v>
      </c>
      <c r="AB28" s="77">
        <v>12.27</v>
      </c>
      <c r="AC28" s="77">
        <f t="shared" si="7"/>
        <v>0.31453473468341453</v>
      </c>
      <c r="AD28" s="77">
        <v>356.83</v>
      </c>
      <c r="AE28" s="77">
        <f t="shared" si="8"/>
        <v>9.1471417585234551</v>
      </c>
      <c r="AF28" s="77">
        <f t="shared" si="9"/>
        <v>7.7571630530000002</v>
      </c>
      <c r="AG28" s="78">
        <v>2.4469999999999999E-2</v>
      </c>
      <c r="AH28" s="77">
        <v>322</v>
      </c>
      <c r="AI28" s="77">
        <v>30.5</v>
      </c>
      <c r="AJ28" s="77">
        <v>10.199999999999999</v>
      </c>
      <c r="AK28" s="77">
        <v>2.98</v>
      </c>
    </row>
    <row r="29" spans="1:37" x14ac:dyDescent="0.3">
      <c r="A29" s="74" t="s">
        <v>443</v>
      </c>
      <c r="B29" s="74">
        <v>16.983502999999999</v>
      </c>
      <c r="C29" s="74">
        <v>74.131896999999995</v>
      </c>
      <c r="D29" s="74" t="s">
        <v>230</v>
      </c>
      <c r="E29" s="74">
        <v>7.04</v>
      </c>
      <c r="F29" s="74">
        <v>440.1</v>
      </c>
      <c r="G29" s="74">
        <v>633</v>
      </c>
      <c r="H29" s="74">
        <v>26.4</v>
      </c>
      <c r="I29" s="74">
        <v>317</v>
      </c>
      <c r="J29" s="74">
        <v>1.42</v>
      </c>
      <c r="K29" s="74">
        <v>0.62</v>
      </c>
      <c r="L29" s="79">
        <v>2.9999999999999997E-4</v>
      </c>
      <c r="M29" s="74">
        <v>3.8800000000000003</v>
      </c>
      <c r="N29" s="79">
        <v>0.10199999999999999</v>
      </c>
      <c r="O29" s="79">
        <v>1.1200000000000001</v>
      </c>
      <c r="P29" s="80">
        <v>320</v>
      </c>
      <c r="Q29" s="81">
        <f t="shared" si="0"/>
        <v>5.2444572642288678</v>
      </c>
      <c r="R29" s="74">
        <v>14.899999999999999</v>
      </c>
      <c r="S29" s="75">
        <f t="shared" si="1"/>
        <v>0.31022277743077242</v>
      </c>
      <c r="T29" s="77">
        <v>19.5</v>
      </c>
      <c r="U29" s="77">
        <f t="shared" si="2"/>
        <v>0.97310245022206687</v>
      </c>
      <c r="V29" s="77">
        <f t="shared" si="3"/>
        <v>0.42391245</v>
      </c>
      <c r="W29" s="77">
        <v>17.899999999999999</v>
      </c>
      <c r="X29" s="77">
        <f t="shared" si="4"/>
        <v>0.50493653032440045</v>
      </c>
      <c r="Y29" s="77">
        <f t="shared" si="5"/>
        <v>0.38912988999999998</v>
      </c>
      <c r="Z29" s="77">
        <v>21.89</v>
      </c>
      <c r="AA29" s="77">
        <f t="shared" si="6"/>
        <v>0.95215311004784697</v>
      </c>
      <c r="AB29" s="77">
        <v>30.01</v>
      </c>
      <c r="AC29" s="77">
        <f t="shared" si="7"/>
        <v>0.76928992566008725</v>
      </c>
      <c r="AD29" s="77">
        <v>324.62</v>
      </c>
      <c r="AE29" s="77">
        <f t="shared" si="8"/>
        <v>8.321456036913613</v>
      </c>
      <c r="AF29" s="77">
        <f t="shared" si="9"/>
        <v>7.0569466420000007</v>
      </c>
      <c r="AG29" s="78">
        <v>1.6469999999999999E-2</v>
      </c>
      <c r="AH29" s="77">
        <v>362</v>
      </c>
      <c r="AI29" s="77">
        <v>78.900000000000006</v>
      </c>
      <c r="AJ29" s="77">
        <v>7.4</v>
      </c>
      <c r="AK29" s="77">
        <v>3.8800000000000003</v>
      </c>
    </row>
    <row r="30" spans="1:37" x14ac:dyDescent="0.3">
      <c r="A30" s="74" t="s">
        <v>444</v>
      </c>
      <c r="B30" s="74">
        <v>16.984625999999999</v>
      </c>
      <c r="C30" s="74">
        <v>74.132427000000007</v>
      </c>
      <c r="D30" s="74" t="s">
        <v>346</v>
      </c>
      <c r="E30" s="74">
        <v>6.99</v>
      </c>
      <c r="F30" s="74">
        <v>135.6</v>
      </c>
      <c r="G30" s="74">
        <v>1122</v>
      </c>
      <c r="H30" s="74">
        <v>26.43</v>
      </c>
      <c r="I30" s="74">
        <v>560</v>
      </c>
      <c r="J30" s="74">
        <v>1.42</v>
      </c>
      <c r="K30" s="74">
        <v>0.41</v>
      </c>
      <c r="L30" s="79">
        <v>1E-4</v>
      </c>
      <c r="M30" s="74">
        <v>2.5799999999999996</v>
      </c>
      <c r="N30" s="79">
        <v>0.03</v>
      </c>
      <c r="O30" s="79">
        <v>0.84</v>
      </c>
      <c r="P30" s="80">
        <v>463</v>
      </c>
      <c r="Q30" s="81">
        <f t="shared" si="0"/>
        <v>7.5880741041811435</v>
      </c>
      <c r="R30" s="74">
        <v>10.4</v>
      </c>
      <c r="S30" s="75">
        <f t="shared" si="1"/>
        <v>0.21653133458255258</v>
      </c>
      <c r="T30" s="77">
        <v>88.82</v>
      </c>
      <c r="U30" s="77">
        <f t="shared" si="2"/>
        <v>4.4323569040371273</v>
      </c>
      <c r="V30" s="77">
        <f t="shared" si="3"/>
        <v>1.930866862</v>
      </c>
      <c r="W30" s="77">
        <v>13.4</v>
      </c>
      <c r="X30" s="77">
        <f t="shared" si="4"/>
        <v>0.37799717912552888</v>
      </c>
      <c r="Y30" s="77">
        <f t="shared" si="5"/>
        <v>0.29130394000000004</v>
      </c>
      <c r="Z30" s="77">
        <v>14.31</v>
      </c>
      <c r="AA30" s="77">
        <f t="shared" si="6"/>
        <v>0.62244454110482828</v>
      </c>
      <c r="AB30" s="77">
        <v>31.11</v>
      </c>
      <c r="AC30" s="77">
        <f t="shared" si="7"/>
        <v>0.7974878236349654</v>
      </c>
      <c r="AD30" s="77">
        <v>397.73</v>
      </c>
      <c r="AE30" s="77">
        <f t="shared" si="8"/>
        <v>10.195590874134838</v>
      </c>
      <c r="AF30" s="77">
        <f t="shared" si="9"/>
        <v>8.6462922430000013</v>
      </c>
      <c r="AG30" s="78">
        <v>2.147E-2</v>
      </c>
      <c r="AH30" s="77">
        <v>318</v>
      </c>
      <c r="AI30" s="77">
        <v>66.3</v>
      </c>
      <c r="AJ30" s="77">
        <v>9.1</v>
      </c>
      <c r="AK30" s="77">
        <v>2.5799999999999996</v>
      </c>
    </row>
    <row r="31" spans="1:37" x14ac:dyDescent="0.3">
      <c r="A31" s="74" t="s">
        <v>445</v>
      </c>
      <c r="B31" s="74">
        <v>16.984573000000001</v>
      </c>
      <c r="C31" s="74">
        <v>74.132671000000002</v>
      </c>
      <c r="D31" s="74" t="s">
        <v>220</v>
      </c>
      <c r="E31" s="74">
        <v>6.97</v>
      </c>
      <c r="F31" s="74">
        <v>127.2</v>
      </c>
      <c r="G31" s="74">
        <v>1125</v>
      </c>
      <c r="H31" s="74">
        <v>26.42</v>
      </c>
      <c r="I31" s="74">
        <v>562</v>
      </c>
      <c r="J31" s="74">
        <v>1.43</v>
      </c>
      <c r="K31" s="74">
        <v>0.49</v>
      </c>
      <c r="L31" s="79">
        <v>2.9999999999999997E-4</v>
      </c>
      <c r="M31" s="74">
        <v>4.68</v>
      </c>
      <c r="N31" s="79">
        <v>0.15</v>
      </c>
      <c r="O31" s="79">
        <v>0.61</v>
      </c>
      <c r="P31" s="80">
        <v>347</v>
      </c>
      <c r="Q31" s="81">
        <f t="shared" si="0"/>
        <v>5.6869583458981783</v>
      </c>
      <c r="R31" s="74">
        <v>9.3000000000000007</v>
      </c>
      <c r="S31" s="75">
        <f t="shared" si="1"/>
        <v>0.19362898188632105</v>
      </c>
      <c r="T31" s="77">
        <v>26.69</v>
      </c>
      <c r="U31" s="77">
        <f t="shared" si="2"/>
        <v>1.3319027895603572</v>
      </c>
      <c r="V31" s="77">
        <f t="shared" si="3"/>
        <v>0.58021657900000001</v>
      </c>
      <c r="W31" s="77">
        <v>12.3</v>
      </c>
      <c r="X31" s="77">
        <f t="shared" si="4"/>
        <v>0.34696755994358253</v>
      </c>
      <c r="Y31" s="77">
        <f t="shared" si="5"/>
        <v>0.26739093000000003</v>
      </c>
      <c r="Z31" s="77">
        <v>13.45</v>
      </c>
      <c r="AA31" s="77">
        <f t="shared" si="6"/>
        <v>0.58503697259678122</v>
      </c>
      <c r="AB31" s="77">
        <v>12.11</v>
      </c>
      <c r="AC31" s="77">
        <f t="shared" si="7"/>
        <v>0.31043322225070497</v>
      </c>
      <c r="AD31" s="77">
        <v>375.7</v>
      </c>
      <c r="AE31" s="77">
        <f t="shared" si="8"/>
        <v>9.6308638810561398</v>
      </c>
      <c r="AF31" s="77">
        <f t="shared" si="9"/>
        <v>8.1673798699999995</v>
      </c>
      <c r="AG31" s="78">
        <v>3.0699999999999998E-3</v>
      </c>
      <c r="AH31" s="77">
        <v>362</v>
      </c>
      <c r="AI31" s="77">
        <v>83.8</v>
      </c>
      <c r="AJ31" s="77">
        <v>8.1</v>
      </c>
      <c r="AK31" s="77">
        <v>4.68</v>
      </c>
    </row>
    <row r="32" spans="1:37" x14ac:dyDescent="0.3">
      <c r="A32" s="74" t="s">
        <v>446</v>
      </c>
      <c r="B32" s="74">
        <v>16.984818000000001</v>
      </c>
      <c r="C32" s="74">
        <v>74.131934999999999</v>
      </c>
      <c r="D32" s="74" t="s">
        <v>389</v>
      </c>
      <c r="E32" s="74">
        <v>6.9</v>
      </c>
      <c r="F32" s="74">
        <v>131.19999999999999</v>
      </c>
      <c r="G32" s="74">
        <v>1099</v>
      </c>
      <c r="H32" s="74">
        <v>26.38</v>
      </c>
      <c r="I32" s="74">
        <v>550</v>
      </c>
      <c r="J32" s="74">
        <v>1.42</v>
      </c>
      <c r="K32" s="74">
        <v>0.79</v>
      </c>
      <c r="L32" s="79">
        <v>6.9999999999999999E-4</v>
      </c>
      <c r="M32" s="74">
        <v>4.18</v>
      </c>
      <c r="N32" s="79">
        <v>0.84</v>
      </c>
      <c r="O32" s="79">
        <v>0.71</v>
      </c>
      <c r="P32" s="80">
        <v>451</v>
      </c>
      <c r="Q32" s="81">
        <f t="shared" si="0"/>
        <v>7.3914069567725607</v>
      </c>
      <c r="R32" s="74">
        <v>14.600000000000001</v>
      </c>
      <c r="S32" s="75">
        <f t="shared" si="1"/>
        <v>0.30397668124089111</v>
      </c>
      <c r="T32" s="77">
        <v>109</v>
      </c>
      <c r="U32" s="77">
        <f t="shared" si="2"/>
        <v>5.4393931832925793</v>
      </c>
      <c r="V32" s="77">
        <f t="shared" si="3"/>
        <v>2.3695618999999999</v>
      </c>
      <c r="W32" s="77">
        <v>17.600000000000001</v>
      </c>
      <c r="X32" s="77">
        <f t="shared" si="4"/>
        <v>0.49647390691114246</v>
      </c>
      <c r="Y32" s="77">
        <f t="shared" si="5"/>
        <v>0.38260816000000003</v>
      </c>
      <c r="Z32" s="77">
        <v>11.56</v>
      </c>
      <c r="AA32" s="77">
        <f t="shared" si="6"/>
        <v>0.50282731622444543</v>
      </c>
      <c r="AB32" s="77">
        <v>23.87</v>
      </c>
      <c r="AC32" s="77">
        <f t="shared" si="7"/>
        <v>0.6118943860548578</v>
      </c>
      <c r="AD32" s="77">
        <v>356.08</v>
      </c>
      <c r="AE32" s="77">
        <f t="shared" si="8"/>
        <v>9.1279159189951287</v>
      </c>
      <c r="AF32" s="77">
        <f t="shared" si="9"/>
        <v>7.7408587280000001</v>
      </c>
      <c r="AG32" s="78">
        <v>7.4700000000000001E-3</v>
      </c>
      <c r="AH32" s="77">
        <v>332</v>
      </c>
      <c r="AI32" s="77">
        <v>74.7</v>
      </c>
      <c r="AJ32" s="77">
        <v>10.199999999999999</v>
      </c>
      <c r="AK32" s="77">
        <v>4.18</v>
      </c>
    </row>
    <row r="33" spans="1:37" x14ac:dyDescent="0.3">
      <c r="A33" s="74" t="s">
        <v>447</v>
      </c>
      <c r="B33" s="74">
        <v>16.989038999999998</v>
      </c>
      <c r="C33" s="74">
        <v>74.139902000000006</v>
      </c>
      <c r="D33" s="74" t="s">
        <v>235</v>
      </c>
      <c r="E33" s="74">
        <v>6.85</v>
      </c>
      <c r="F33" s="74">
        <v>132.9</v>
      </c>
      <c r="G33" s="74">
        <v>1368</v>
      </c>
      <c r="H33" s="74">
        <v>26.4</v>
      </c>
      <c r="I33" s="74">
        <v>684</v>
      </c>
      <c r="J33" s="74">
        <v>1.43</v>
      </c>
      <c r="K33" s="74">
        <v>0.44</v>
      </c>
      <c r="L33" s="79">
        <v>2.0000000000000001E-4</v>
      </c>
      <c r="M33" s="74">
        <v>1.3800000000000003</v>
      </c>
      <c r="N33" s="79">
        <v>0.31</v>
      </c>
      <c r="O33" s="79">
        <v>1.7</v>
      </c>
      <c r="P33" s="80">
        <v>325</v>
      </c>
      <c r="Q33" s="81">
        <f t="shared" si="0"/>
        <v>5.3264019089824437</v>
      </c>
      <c r="R33" s="74">
        <v>13.399999999999999</v>
      </c>
      <c r="S33" s="75">
        <f t="shared" si="1"/>
        <v>0.27899229648136575</v>
      </c>
      <c r="T33" s="77">
        <v>85.35</v>
      </c>
      <c r="U33" s="77">
        <f t="shared" si="2"/>
        <v>4.2591945705873542</v>
      </c>
      <c r="V33" s="77">
        <f t="shared" si="3"/>
        <v>1.855432185</v>
      </c>
      <c r="W33" s="77">
        <v>16.399999999999999</v>
      </c>
      <c r="X33" s="77">
        <f t="shared" si="4"/>
        <v>0.46262341325810996</v>
      </c>
      <c r="Y33" s="77">
        <f t="shared" si="5"/>
        <v>0.35652123999999996</v>
      </c>
      <c r="Z33" s="77">
        <v>12.9</v>
      </c>
      <c r="AA33" s="77">
        <f t="shared" si="6"/>
        <v>0.56111352762070466</v>
      </c>
      <c r="AB33" s="77">
        <v>27.87</v>
      </c>
      <c r="AC33" s="77">
        <f t="shared" si="7"/>
        <v>0.71443219687259685</v>
      </c>
      <c r="AD33" s="77">
        <v>228.34</v>
      </c>
      <c r="AE33" s="77">
        <f t="shared" si="8"/>
        <v>5.8533709305306338</v>
      </c>
      <c r="AF33" s="77">
        <f t="shared" si="9"/>
        <v>4.9639060940000004</v>
      </c>
      <c r="AG33" s="78">
        <v>3.1700000000000001E-3</v>
      </c>
      <c r="AH33" s="77">
        <v>320</v>
      </c>
      <c r="AI33" s="77">
        <v>63.4</v>
      </c>
      <c r="AJ33" s="77">
        <v>9.6999999999999993</v>
      </c>
      <c r="AK33" s="77">
        <v>1.3800000000000003</v>
      </c>
    </row>
    <row r="34" spans="1:37" x14ac:dyDescent="0.3">
      <c r="A34" s="74" t="s">
        <v>448</v>
      </c>
      <c r="B34" s="74">
        <v>17.094778999999999</v>
      </c>
      <c r="C34" s="74">
        <v>74.346800000000002</v>
      </c>
      <c r="D34" s="74" t="s">
        <v>224</v>
      </c>
      <c r="E34" s="74">
        <v>7.25</v>
      </c>
      <c r="F34" s="74">
        <v>135</v>
      </c>
      <c r="G34" s="74">
        <v>691</v>
      </c>
      <c r="H34" s="74">
        <v>26.42</v>
      </c>
      <c r="I34" s="74">
        <v>346</v>
      </c>
      <c r="J34" s="74">
        <v>1.43</v>
      </c>
      <c r="K34" s="74">
        <v>0.45</v>
      </c>
      <c r="L34" s="79">
        <v>1E-4</v>
      </c>
      <c r="M34" s="74">
        <v>3.0799999999999996</v>
      </c>
      <c r="N34" s="79">
        <v>0.22</v>
      </c>
      <c r="O34" s="79">
        <v>1.3</v>
      </c>
      <c r="P34" s="80">
        <v>247</v>
      </c>
      <c r="Q34" s="81">
        <f t="shared" si="0"/>
        <v>4.0480654508266571</v>
      </c>
      <c r="R34" s="74">
        <v>17.899999999999999</v>
      </c>
      <c r="S34" s="75">
        <f t="shared" si="1"/>
        <v>0.37268373932958565</v>
      </c>
      <c r="T34" s="77">
        <v>53.68</v>
      </c>
      <c r="U34" s="77">
        <f t="shared" si="2"/>
        <v>2.6787763860472076</v>
      </c>
      <c r="V34" s="77">
        <f t="shared" si="3"/>
        <v>1.166954888</v>
      </c>
      <c r="W34" s="77">
        <v>20.9</v>
      </c>
      <c r="X34" s="77">
        <f t="shared" si="4"/>
        <v>0.58956276445698153</v>
      </c>
      <c r="Y34" s="77">
        <f t="shared" si="5"/>
        <v>0.45434719000000001</v>
      </c>
      <c r="Z34" s="77">
        <v>13.22</v>
      </c>
      <c r="AA34" s="77">
        <f t="shared" si="6"/>
        <v>0.57503262287951284</v>
      </c>
      <c r="AB34" s="77">
        <v>21.85</v>
      </c>
      <c r="AC34" s="77">
        <f t="shared" si="7"/>
        <v>0.56011279159189953</v>
      </c>
      <c r="AD34" s="77">
        <v>224.51</v>
      </c>
      <c r="AE34" s="77">
        <f t="shared" si="8"/>
        <v>5.7551909766726483</v>
      </c>
      <c r="AF34" s="77">
        <f t="shared" si="9"/>
        <v>4.8806453410000001</v>
      </c>
      <c r="AG34" s="78">
        <v>4.2699999999999995E-3</v>
      </c>
      <c r="AH34" s="77">
        <v>370</v>
      </c>
      <c r="AI34" s="77">
        <v>53.22</v>
      </c>
      <c r="AJ34" s="77">
        <v>9.09</v>
      </c>
      <c r="AK34" s="77">
        <v>3.0799999999999996</v>
      </c>
    </row>
    <row r="35" spans="1:37" x14ac:dyDescent="0.3">
      <c r="A35" s="74" t="s">
        <v>449</v>
      </c>
      <c r="B35" s="74">
        <v>17.072673999999999</v>
      </c>
      <c r="C35" s="74">
        <v>74.361603000000002</v>
      </c>
      <c r="D35" s="74" t="s">
        <v>199</v>
      </c>
      <c r="E35" s="74">
        <v>7.26</v>
      </c>
      <c r="F35" s="74">
        <v>139.80000000000001</v>
      </c>
      <c r="G35" s="74">
        <v>464</v>
      </c>
      <c r="H35" s="74">
        <v>26.43</v>
      </c>
      <c r="I35" s="74">
        <v>232</v>
      </c>
      <c r="J35" s="74">
        <v>1.43</v>
      </c>
      <c r="K35" s="74">
        <v>0.13</v>
      </c>
      <c r="L35" s="79">
        <v>2.9999999999999997E-4</v>
      </c>
      <c r="M35" s="74">
        <v>1.2799999999999998</v>
      </c>
      <c r="N35" s="79">
        <v>0.16</v>
      </c>
      <c r="O35" s="79">
        <v>0.51</v>
      </c>
      <c r="P35" s="80">
        <v>498</v>
      </c>
      <c r="Q35" s="81">
        <f t="shared" si="0"/>
        <v>8.1616866174561764</v>
      </c>
      <c r="R35" s="74">
        <v>7.1999999999999993</v>
      </c>
      <c r="S35" s="75">
        <f t="shared" si="1"/>
        <v>0.14990630855715176</v>
      </c>
      <c r="T35" s="77">
        <v>90.71</v>
      </c>
      <c r="U35" s="77">
        <f t="shared" si="2"/>
        <v>4.5266729876740346</v>
      </c>
      <c r="V35" s="77">
        <f t="shared" si="3"/>
        <v>1.971953761</v>
      </c>
      <c r="W35" s="77">
        <v>10.199999999999999</v>
      </c>
      <c r="X35" s="77">
        <f t="shared" si="4"/>
        <v>0.28772919605077568</v>
      </c>
      <c r="Y35" s="77">
        <f t="shared" si="5"/>
        <v>0.22173882</v>
      </c>
      <c r="Z35" s="77">
        <v>12.05</v>
      </c>
      <c r="AA35" s="77">
        <f t="shared" si="6"/>
        <v>0.52414093083949553</v>
      </c>
      <c r="AB35" s="77">
        <v>32.85</v>
      </c>
      <c r="AC35" s="77">
        <f t="shared" si="7"/>
        <v>0.84209177134068192</v>
      </c>
      <c r="AD35" s="77">
        <v>334.28</v>
      </c>
      <c r="AE35" s="77">
        <f t="shared" si="8"/>
        <v>8.5690848500384522</v>
      </c>
      <c r="AF35" s="77">
        <f t="shared" si="9"/>
        <v>7.2669463479999994</v>
      </c>
      <c r="AG35" s="78">
        <v>4.5699999999999994E-3</v>
      </c>
      <c r="AH35" s="77">
        <v>458</v>
      </c>
      <c r="AI35" s="77">
        <v>72.8</v>
      </c>
      <c r="AJ35" s="77">
        <v>9.0399999999999991</v>
      </c>
      <c r="AK35" s="77">
        <v>1.2799999999999998</v>
      </c>
    </row>
    <row r="36" spans="1:37" x14ac:dyDescent="0.3">
      <c r="A36" s="74" t="s">
        <v>450</v>
      </c>
      <c r="B36" s="74">
        <v>17.069400000000002</v>
      </c>
      <c r="C36" s="74">
        <v>74.362564000000006</v>
      </c>
      <c r="D36" s="74">
        <v>100</v>
      </c>
      <c r="E36" s="74">
        <v>7.19</v>
      </c>
      <c r="F36" s="74">
        <v>142.6</v>
      </c>
      <c r="G36" s="74">
        <v>504</v>
      </c>
      <c r="H36" s="74">
        <v>26.42</v>
      </c>
      <c r="I36" s="74">
        <v>252</v>
      </c>
      <c r="J36" s="74">
        <v>1.43</v>
      </c>
      <c r="K36" s="74">
        <v>0.68</v>
      </c>
      <c r="L36" s="79">
        <v>1E-4</v>
      </c>
      <c r="M36" s="74">
        <v>4.7800000000000011</v>
      </c>
      <c r="N36" s="79">
        <v>0.84</v>
      </c>
      <c r="O36" s="79">
        <v>1.2</v>
      </c>
      <c r="P36" s="80">
        <v>461</v>
      </c>
      <c r="Q36" s="81">
        <f t="shared" si="0"/>
        <v>7.5552962462797124</v>
      </c>
      <c r="R36" s="74">
        <v>10.6</v>
      </c>
      <c r="S36" s="75">
        <f t="shared" si="1"/>
        <v>0.22069539870914009</v>
      </c>
      <c r="T36" s="77">
        <v>122.37</v>
      </c>
      <c r="U36" s="77">
        <f t="shared" si="2"/>
        <v>6.1065921453166325</v>
      </c>
      <c r="V36" s="77">
        <f t="shared" si="3"/>
        <v>2.6602136670000003</v>
      </c>
      <c r="W36" s="77">
        <v>13.6</v>
      </c>
      <c r="X36" s="77">
        <f t="shared" si="4"/>
        <v>0.38363892806770095</v>
      </c>
      <c r="Y36" s="77">
        <f t="shared" si="5"/>
        <v>0.29565175999999999</v>
      </c>
      <c r="Z36" s="77">
        <v>19.46</v>
      </c>
      <c r="AA36" s="77">
        <f t="shared" si="6"/>
        <v>0.84645498042627243</v>
      </c>
      <c r="AB36" s="77">
        <v>22.87</v>
      </c>
      <c r="AC36" s="77">
        <f t="shared" si="7"/>
        <v>0.58625993335042303</v>
      </c>
      <c r="AD36" s="77">
        <v>327.76</v>
      </c>
      <c r="AE36" s="77">
        <f t="shared" si="8"/>
        <v>8.4019482184055381</v>
      </c>
      <c r="AF36" s="77">
        <f t="shared" si="9"/>
        <v>7.1252074160000003</v>
      </c>
      <c r="AG36" s="78">
        <v>2.47E-3</v>
      </c>
      <c r="AH36" s="77">
        <v>214</v>
      </c>
      <c r="AI36" s="77">
        <v>63.9</v>
      </c>
      <c r="AJ36" s="77">
        <v>8.99</v>
      </c>
      <c r="AK36" s="77">
        <v>4.7800000000000011</v>
      </c>
    </row>
    <row r="37" spans="1:37" x14ac:dyDescent="0.3">
      <c r="A37" s="74" t="s">
        <v>451</v>
      </c>
      <c r="B37" s="74">
        <v>17.071432000000001</v>
      </c>
      <c r="C37" s="74">
        <v>74.363472999999999</v>
      </c>
      <c r="D37" s="74" t="s">
        <v>415</v>
      </c>
      <c r="E37" s="74">
        <v>7.61</v>
      </c>
      <c r="F37" s="74">
        <v>144.4</v>
      </c>
      <c r="G37" s="74">
        <v>469</v>
      </c>
      <c r="H37" s="74">
        <v>26.44</v>
      </c>
      <c r="I37" s="74">
        <v>235</v>
      </c>
      <c r="J37" s="74">
        <v>1.42</v>
      </c>
      <c r="K37" s="74">
        <v>0.83</v>
      </c>
      <c r="L37" s="79">
        <v>1E-4</v>
      </c>
      <c r="M37" s="74">
        <v>1.5799999999999996</v>
      </c>
      <c r="N37" s="74">
        <v>0.11</v>
      </c>
      <c r="O37" s="79">
        <v>1.64</v>
      </c>
      <c r="P37" s="80">
        <v>143</v>
      </c>
      <c r="Q37" s="81">
        <f t="shared" si="0"/>
        <v>2.3436168399522752</v>
      </c>
      <c r="R37" s="74">
        <v>5</v>
      </c>
      <c r="S37" s="75">
        <f t="shared" si="1"/>
        <v>0.10410160316468874</v>
      </c>
      <c r="T37" s="77">
        <v>98.61</v>
      </c>
      <c r="U37" s="77">
        <f t="shared" si="2"/>
        <v>4.9209042367383597</v>
      </c>
      <c r="V37" s="77">
        <f t="shared" si="3"/>
        <v>2.1436926510000003</v>
      </c>
      <c r="W37" s="77">
        <v>8</v>
      </c>
      <c r="X37" s="77">
        <f t="shared" si="4"/>
        <v>0.22566995768688292</v>
      </c>
      <c r="Y37" s="77">
        <f t="shared" si="5"/>
        <v>0.17391280000000001</v>
      </c>
      <c r="Z37" s="77">
        <v>16.36</v>
      </c>
      <c r="AA37" s="77">
        <f t="shared" si="6"/>
        <v>0.71161374510656805</v>
      </c>
      <c r="AB37" s="77">
        <v>23.95</v>
      </c>
      <c r="AC37" s="77">
        <f t="shared" si="7"/>
        <v>0.61394514227121255</v>
      </c>
      <c r="AD37" s="77">
        <v>17.43</v>
      </c>
      <c r="AE37" s="77">
        <f t="shared" si="8"/>
        <v>0.44680851063829791</v>
      </c>
      <c r="AF37" s="77">
        <f t="shared" si="9"/>
        <v>0.37891251300000001</v>
      </c>
      <c r="AG37" s="78">
        <v>2.47E-3</v>
      </c>
      <c r="AH37" s="77">
        <v>398</v>
      </c>
      <c r="AI37" s="77">
        <v>55.64</v>
      </c>
      <c r="AJ37" s="77">
        <v>8.9699999999999989</v>
      </c>
      <c r="AK37" s="77">
        <v>1.5799999999999996</v>
      </c>
    </row>
    <row r="38" spans="1:37" x14ac:dyDescent="0.3">
      <c r="A38" s="74" t="s">
        <v>452</v>
      </c>
      <c r="B38" s="74">
        <v>17.070788</v>
      </c>
      <c r="C38" s="74">
        <v>74.358862999999999</v>
      </c>
      <c r="D38" s="74" t="s">
        <v>254</v>
      </c>
      <c r="E38" s="74">
        <v>7.7</v>
      </c>
      <c r="F38" s="74">
        <v>138.4</v>
      </c>
      <c r="G38" s="74">
        <v>949</v>
      </c>
      <c r="H38" s="74">
        <v>26.49</v>
      </c>
      <c r="I38" s="74">
        <v>475</v>
      </c>
      <c r="J38" s="74">
        <v>1.42</v>
      </c>
      <c r="K38" s="74">
        <v>0.37</v>
      </c>
      <c r="L38" s="79">
        <v>2.9999999999999997E-4</v>
      </c>
      <c r="M38" s="74">
        <v>2.98</v>
      </c>
      <c r="N38" s="74">
        <v>0.62</v>
      </c>
      <c r="O38" s="79">
        <v>2.11</v>
      </c>
      <c r="P38" s="80">
        <v>216</v>
      </c>
      <c r="Q38" s="81">
        <f t="shared" si="0"/>
        <v>3.5400086533544859</v>
      </c>
      <c r="R38" s="74">
        <v>9.4</v>
      </c>
      <c r="S38" s="75">
        <f t="shared" si="1"/>
        <v>0.19571101394961482</v>
      </c>
      <c r="T38" s="77">
        <v>85.78</v>
      </c>
      <c r="U38" s="77">
        <f t="shared" si="2"/>
        <v>4.2806527271819945</v>
      </c>
      <c r="V38" s="77">
        <f t="shared" si="3"/>
        <v>1.8647799980000002</v>
      </c>
      <c r="W38" s="77">
        <v>12.4</v>
      </c>
      <c r="X38" s="77">
        <f t="shared" si="4"/>
        <v>0.3497884344146685</v>
      </c>
      <c r="Y38" s="77">
        <f t="shared" si="5"/>
        <v>0.26956484000000003</v>
      </c>
      <c r="Z38" s="77">
        <v>14.71</v>
      </c>
      <c r="AA38" s="77">
        <f t="shared" si="6"/>
        <v>0.63984341017833846</v>
      </c>
      <c r="AB38" s="77">
        <v>22.9</v>
      </c>
      <c r="AC38" s="77">
        <f t="shared" si="7"/>
        <v>0.58702896693155604</v>
      </c>
      <c r="AD38" s="77">
        <v>154.35</v>
      </c>
      <c r="AE38" s="77">
        <f t="shared" si="8"/>
        <v>3.9566777749295055</v>
      </c>
      <c r="AF38" s="77">
        <f t="shared" si="9"/>
        <v>3.3554300850000001</v>
      </c>
      <c r="AG38" s="78">
        <v>2.4469999999999999E-2</v>
      </c>
      <c r="AH38" s="77">
        <v>438</v>
      </c>
      <c r="AI38" s="77">
        <v>45.1</v>
      </c>
      <c r="AJ38" s="77">
        <v>8.9</v>
      </c>
      <c r="AK38" s="77">
        <v>2.98</v>
      </c>
    </row>
    <row r="39" spans="1:37" x14ac:dyDescent="0.3">
      <c r="A39" s="74" t="s">
        <v>453</v>
      </c>
      <c r="B39" s="74">
        <v>17.070924999999999</v>
      </c>
      <c r="C39" s="74">
        <v>74.358542999999997</v>
      </c>
      <c r="D39" s="74" t="s">
        <v>199</v>
      </c>
      <c r="E39" s="74">
        <v>7.66</v>
      </c>
      <c r="F39" s="74">
        <v>137.5</v>
      </c>
      <c r="G39" s="74">
        <v>1034</v>
      </c>
      <c r="H39" s="74">
        <v>26.52</v>
      </c>
      <c r="I39" s="74">
        <v>516</v>
      </c>
      <c r="J39" s="74">
        <v>1.43</v>
      </c>
      <c r="K39" s="74">
        <v>0.63</v>
      </c>
      <c r="L39" s="79">
        <v>2.0000000000000001E-4</v>
      </c>
      <c r="M39" s="74">
        <v>3.8800000000000003</v>
      </c>
      <c r="N39" s="74">
        <v>0.33</v>
      </c>
      <c r="O39" s="79">
        <v>3.61</v>
      </c>
      <c r="P39" s="80">
        <v>461</v>
      </c>
      <c r="Q39" s="81">
        <f t="shared" si="0"/>
        <v>7.5552962462797124</v>
      </c>
      <c r="R39" s="74">
        <v>1.7999999999999998</v>
      </c>
      <c r="S39" s="75">
        <f t="shared" si="1"/>
        <v>3.7476577139287939E-2</v>
      </c>
      <c r="T39" s="77">
        <v>113.76</v>
      </c>
      <c r="U39" s="77">
        <f t="shared" si="2"/>
        <v>5.6769299865262735</v>
      </c>
      <c r="V39" s="77">
        <f t="shared" si="3"/>
        <v>2.4730400160000001</v>
      </c>
      <c r="W39" s="77">
        <v>4.8</v>
      </c>
      <c r="X39" s="77">
        <f t="shared" si="4"/>
        <v>0.13540197461212974</v>
      </c>
      <c r="Y39" s="77">
        <f t="shared" si="5"/>
        <v>0.10434768</v>
      </c>
      <c r="Z39" s="77">
        <v>12.69</v>
      </c>
      <c r="AA39" s="77">
        <f t="shared" si="6"/>
        <v>0.5519791213571118</v>
      </c>
      <c r="AB39" s="77">
        <v>16.21</v>
      </c>
      <c r="AC39" s="77">
        <f t="shared" si="7"/>
        <v>0.41553447833888751</v>
      </c>
      <c r="AD39" s="77">
        <v>339.46</v>
      </c>
      <c r="AE39" s="77">
        <f t="shared" si="8"/>
        <v>8.7018713150474234</v>
      </c>
      <c r="AF39" s="77">
        <f t="shared" si="9"/>
        <v>7.3795548860000002</v>
      </c>
      <c r="AG39" s="78">
        <v>1.6469999999999999E-2</v>
      </c>
      <c r="AH39" s="77">
        <v>390</v>
      </c>
      <c r="AI39" s="77">
        <v>44.4</v>
      </c>
      <c r="AJ39" s="77">
        <v>8.85</v>
      </c>
      <c r="AK39" s="77">
        <v>3.8800000000000003</v>
      </c>
    </row>
    <row r="40" spans="1:37" x14ac:dyDescent="0.3">
      <c r="A40" s="74" t="s">
        <v>454</v>
      </c>
      <c r="B40" s="74">
        <v>17.070858999999999</v>
      </c>
      <c r="C40" s="74">
        <v>74.359275999999994</v>
      </c>
      <c r="D40" s="74" t="s">
        <v>206</v>
      </c>
      <c r="E40" s="74">
        <v>7.34</v>
      </c>
      <c r="F40" s="74">
        <v>123</v>
      </c>
      <c r="G40" s="74">
        <v>1209</v>
      </c>
      <c r="H40" s="74">
        <v>26.45</v>
      </c>
      <c r="I40" s="74">
        <v>604</v>
      </c>
      <c r="J40" s="74">
        <v>1.44</v>
      </c>
      <c r="K40" s="74">
        <v>0.33</v>
      </c>
      <c r="L40" s="79">
        <v>1E-4</v>
      </c>
      <c r="M40" s="74">
        <v>2.5799999999999996</v>
      </c>
      <c r="N40" s="74">
        <v>1.2E-2</v>
      </c>
      <c r="O40" s="79">
        <v>0.86</v>
      </c>
      <c r="P40" s="80">
        <v>394</v>
      </c>
      <c r="Q40" s="81">
        <f t="shared" si="0"/>
        <v>6.4572380065817931</v>
      </c>
      <c r="R40" s="74">
        <v>2.5999999999999996</v>
      </c>
      <c r="S40" s="75">
        <f t="shared" si="1"/>
        <v>5.4132833645638131E-2</v>
      </c>
      <c r="T40" s="77">
        <v>21.63</v>
      </c>
      <c r="U40" s="77">
        <f t="shared" si="2"/>
        <v>1.0793951794001695</v>
      </c>
      <c r="V40" s="77">
        <f t="shared" si="3"/>
        <v>0.470216733</v>
      </c>
      <c r="W40" s="77">
        <v>5.6</v>
      </c>
      <c r="X40" s="77">
        <f t="shared" si="4"/>
        <v>0.15796897038081803</v>
      </c>
      <c r="Y40" s="77">
        <f t="shared" si="5"/>
        <v>0.12173895999999999</v>
      </c>
      <c r="Z40" s="77">
        <v>12.62</v>
      </c>
      <c r="AA40" s="77">
        <f t="shared" si="6"/>
        <v>0.54893431926924752</v>
      </c>
      <c r="AB40" s="77">
        <v>33.26</v>
      </c>
      <c r="AC40" s="77">
        <f t="shared" si="7"/>
        <v>0.85260189694950017</v>
      </c>
      <c r="AD40" s="77">
        <v>336.78</v>
      </c>
      <c r="AE40" s="77">
        <f t="shared" si="8"/>
        <v>8.6331709817995375</v>
      </c>
      <c r="AF40" s="77">
        <f t="shared" si="9"/>
        <v>7.3212940980000001</v>
      </c>
      <c r="AG40" s="78">
        <v>2.147E-2</v>
      </c>
      <c r="AH40" s="77">
        <v>378</v>
      </c>
      <c r="AI40" s="77">
        <v>30.5</v>
      </c>
      <c r="AJ40" s="77">
        <v>9.25</v>
      </c>
      <c r="AK40" s="77">
        <v>2.5799999999999996</v>
      </c>
    </row>
    <row r="41" spans="1:37" x14ac:dyDescent="0.3">
      <c r="A41" s="74" t="s">
        <v>455</v>
      </c>
      <c r="B41" s="74">
        <v>17.029135</v>
      </c>
      <c r="C41" s="74">
        <v>74.348399000000001</v>
      </c>
      <c r="D41" s="74" t="s">
        <v>224</v>
      </c>
      <c r="E41" s="74">
        <v>7.35</v>
      </c>
      <c r="F41" s="74">
        <v>118.6</v>
      </c>
      <c r="G41" s="74">
        <v>1597</v>
      </c>
      <c r="H41" s="74">
        <v>26.44</v>
      </c>
      <c r="I41" s="74">
        <v>798</v>
      </c>
      <c r="J41" s="74">
        <v>1.44</v>
      </c>
      <c r="K41" s="74">
        <v>0.6</v>
      </c>
      <c r="L41" s="79">
        <v>1E-4</v>
      </c>
      <c r="M41" s="74">
        <v>4.68</v>
      </c>
      <c r="N41" s="74">
        <v>0.15</v>
      </c>
      <c r="O41" s="79">
        <v>1.3</v>
      </c>
      <c r="P41" s="80">
        <v>768</v>
      </c>
      <c r="Q41" s="81">
        <f t="shared" si="0"/>
        <v>12.586697434149283</v>
      </c>
      <c r="R41" s="74">
        <v>3</v>
      </c>
      <c r="S41" s="75">
        <f t="shared" si="1"/>
        <v>6.2460961898813241E-2</v>
      </c>
      <c r="T41" s="77">
        <v>62.57</v>
      </c>
      <c r="U41" s="77">
        <f t="shared" si="2"/>
        <v>3.1224112979689602</v>
      </c>
      <c r="V41" s="77">
        <f t="shared" si="3"/>
        <v>1.3602154870000001</v>
      </c>
      <c r="W41" s="77">
        <v>6</v>
      </c>
      <c r="X41" s="77">
        <f t="shared" si="4"/>
        <v>0.16925246826516219</v>
      </c>
      <c r="Y41" s="77">
        <f t="shared" si="5"/>
        <v>0.13043460000000001</v>
      </c>
      <c r="Z41" s="77">
        <v>14.34</v>
      </c>
      <c r="AA41" s="77">
        <f t="shared" si="6"/>
        <v>0.62374945628534151</v>
      </c>
      <c r="AB41" s="77">
        <v>20.71</v>
      </c>
      <c r="AC41" s="77">
        <f t="shared" si="7"/>
        <v>0.53088951550884389</v>
      </c>
      <c r="AD41" s="77">
        <v>713.37</v>
      </c>
      <c r="AE41" s="77">
        <f t="shared" si="8"/>
        <v>18.286849525762626</v>
      </c>
      <c r="AF41" s="77">
        <f t="shared" si="9"/>
        <v>15.508021767000001</v>
      </c>
      <c r="AG41" s="78">
        <v>3.0699999999999998E-3</v>
      </c>
      <c r="AH41" s="77">
        <v>338</v>
      </c>
      <c r="AI41" s="77">
        <v>87.5</v>
      </c>
      <c r="AJ41" s="77">
        <v>9.26</v>
      </c>
      <c r="AK41" s="77">
        <v>4.68</v>
      </c>
    </row>
    <row r="42" spans="1:37" x14ac:dyDescent="0.3">
      <c r="A42" s="74" t="s">
        <v>456</v>
      </c>
      <c r="B42" s="74">
        <v>17.029136000000001</v>
      </c>
      <c r="C42" s="74">
        <v>74.348401999999993</v>
      </c>
      <c r="D42" s="74" t="s">
        <v>224</v>
      </c>
      <c r="E42" s="74">
        <v>7.05</v>
      </c>
      <c r="F42" s="74">
        <v>140.19999999999999</v>
      </c>
      <c r="G42" s="74">
        <v>1413</v>
      </c>
      <c r="H42" s="74">
        <v>26.5</v>
      </c>
      <c r="I42" s="74">
        <v>706</v>
      </c>
      <c r="J42" s="74">
        <v>1.45</v>
      </c>
      <c r="K42" s="74">
        <v>0.81</v>
      </c>
      <c r="L42" s="79">
        <v>1E-4</v>
      </c>
      <c r="M42" s="74">
        <v>4.18</v>
      </c>
      <c r="N42" s="74">
        <v>0.21</v>
      </c>
      <c r="O42" s="79">
        <v>1.1200000000000001</v>
      </c>
      <c r="P42" s="80">
        <v>417</v>
      </c>
      <c r="Q42" s="81">
        <f t="shared" si="0"/>
        <v>6.8341833724482433</v>
      </c>
      <c r="R42" s="74">
        <v>3.9000000000000004</v>
      </c>
      <c r="S42" s="75">
        <f t="shared" si="1"/>
        <v>8.1199250468457218E-2</v>
      </c>
      <c r="T42" s="77">
        <v>85.65</v>
      </c>
      <c r="U42" s="77">
        <f t="shared" si="2"/>
        <v>4.2741653775138477</v>
      </c>
      <c r="V42" s="77">
        <f t="shared" si="3"/>
        <v>1.8619539150000002</v>
      </c>
      <c r="W42" s="77">
        <v>6.9</v>
      </c>
      <c r="X42" s="77">
        <f t="shared" si="4"/>
        <v>0.19464033850493653</v>
      </c>
      <c r="Y42" s="77">
        <f t="shared" si="5"/>
        <v>0.14999979000000002</v>
      </c>
      <c r="Z42" s="77">
        <v>12.05</v>
      </c>
      <c r="AA42" s="77">
        <f t="shared" si="6"/>
        <v>0.52414093083949553</v>
      </c>
      <c r="AB42" s="77">
        <v>12.9</v>
      </c>
      <c r="AC42" s="77">
        <f t="shared" si="7"/>
        <v>0.33068443988720841</v>
      </c>
      <c r="AD42" s="77">
        <v>356.83</v>
      </c>
      <c r="AE42" s="77">
        <f t="shared" si="8"/>
        <v>9.1471417585234551</v>
      </c>
      <c r="AF42" s="77">
        <f t="shared" si="9"/>
        <v>7.7571630530000002</v>
      </c>
      <c r="AG42" s="78">
        <v>7.4700000000000001E-3</v>
      </c>
      <c r="AH42" s="77">
        <v>458</v>
      </c>
      <c r="AI42" s="77">
        <v>78.900000000000006</v>
      </c>
      <c r="AJ42" s="77">
        <v>9.1900000000000013</v>
      </c>
      <c r="AK42" s="77">
        <v>4.18</v>
      </c>
    </row>
    <row r="43" spans="1:37" x14ac:dyDescent="0.3">
      <c r="A43" s="74" t="s">
        <v>457</v>
      </c>
      <c r="B43" s="74">
        <v>17.02881</v>
      </c>
      <c r="C43" s="74">
        <v>74.349140000000006</v>
      </c>
      <c r="D43" s="74" t="s">
        <v>224</v>
      </c>
      <c r="E43" s="74">
        <v>7.24</v>
      </c>
      <c r="F43" s="74">
        <v>135.9</v>
      </c>
      <c r="G43" s="74">
        <v>1544</v>
      </c>
      <c r="H43" s="74">
        <v>26.47</v>
      </c>
      <c r="I43" s="74">
        <v>773</v>
      </c>
      <c r="J43" s="74">
        <v>1.47</v>
      </c>
      <c r="K43" s="74">
        <v>0.41</v>
      </c>
      <c r="L43" s="79">
        <v>2.9999999999999997E-4</v>
      </c>
      <c r="M43" s="74">
        <v>1.3800000000000003</v>
      </c>
      <c r="N43" s="74">
        <v>0.28999999999999998</v>
      </c>
      <c r="O43" s="79">
        <v>0.84</v>
      </c>
      <c r="P43" s="80">
        <v>401</v>
      </c>
      <c r="Q43" s="81">
        <f t="shared" si="0"/>
        <v>6.5719605092368001</v>
      </c>
      <c r="R43" s="74">
        <v>5.1999999999999993</v>
      </c>
      <c r="S43" s="75">
        <f t="shared" si="1"/>
        <v>0.10826566729127626</v>
      </c>
      <c r="T43" s="77">
        <v>24.54</v>
      </c>
      <c r="U43" s="77">
        <f t="shared" si="2"/>
        <v>1.2246120065871549</v>
      </c>
      <c r="V43" s="77">
        <f t="shared" si="3"/>
        <v>0.53347751399999999</v>
      </c>
      <c r="W43" s="77">
        <v>8.1999999999999993</v>
      </c>
      <c r="X43" s="77">
        <f t="shared" si="4"/>
        <v>0.23131170662905498</v>
      </c>
      <c r="Y43" s="77">
        <f t="shared" si="5"/>
        <v>0.17826061999999998</v>
      </c>
      <c r="Z43" s="77">
        <v>14.69</v>
      </c>
      <c r="AA43" s="77">
        <f t="shared" si="6"/>
        <v>0.63897346672466293</v>
      </c>
      <c r="AB43" s="77">
        <v>22.87</v>
      </c>
      <c r="AC43" s="77">
        <f t="shared" si="7"/>
        <v>0.58625993335042303</v>
      </c>
      <c r="AD43" s="77">
        <v>324.62</v>
      </c>
      <c r="AE43" s="77">
        <f t="shared" si="8"/>
        <v>8.321456036913613</v>
      </c>
      <c r="AF43" s="77">
        <f t="shared" si="9"/>
        <v>7.0569466420000007</v>
      </c>
      <c r="AG43" s="78">
        <v>3.1700000000000001E-3</v>
      </c>
      <c r="AH43" s="77">
        <v>478</v>
      </c>
      <c r="AI43" s="77">
        <v>70.8</v>
      </c>
      <c r="AJ43" s="77">
        <v>8.3000000000000007</v>
      </c>
      <c r="AK43" s="77">
        <v>1.3800000000000003</v>
      </c>
    </row>
    <row r="44" spans="1:37" x14ac:dyDescent="0.3">
      <c r="A44" s="74" t="s">
        <v>458</v>
      </c>
      <c r="B44" s="74">
        <v>17.028718999999999</v>
      </c>
      <c r="C44" s="74">
        <v>74.351442000000006</v>
      </c>
      <c r="D44" s="74" t="s">
        <v>224</v>
      </c>
      <c r="E44" s="74">
        <v>7.12</v>
      </c>
      <c r="F44" s="74">
        <v>137.30000000000001</v>
      </c>
      <c r="G44" s="74">
        <v>548</v>
      </c>
      <c r="H44" s="74">
        <v>26.52</v>
      </c>
      <c r="I44" s="74">
        <v>274</v>
      </c>
      <c r="J44" s="74">
        <v>1.46</v>
      </c>
      <c r="K44" s="74">
        <v>0.19</v>
      </c>
      <c r="L44" s="79">
        <v>1E-4</v>
      </c>
      <c r="M44" s="74">
        <v>3.0799999999999996</v>
      </c>
      <c r="N44" s="74">
        <v>0.21</v>
      </c>
      <c r="O44" s="79">
        <v>1.4</v>
      </c>
      <c r="P44" s="80">
        <v>451</v>
      </c>
      <c r="Q44" s="81">
        <f t="shared" si="0"/>
        <v>7.3914069567725607</v>
      </c>
      <c r="R44" s="74">
        <v>2.4000000000000004</v>
      </c>
      <c r="S44" s="75">
        <f t="shared" si="1"/>
        <v>4.9968769519050597E-2</v>
      </c>
      <c r="T44" s="77">
        <v>67.22</v>
      </c>
      <c r="U44" s="77">
        <f t="shared" si="2"/>
        <v>3.3544588053296072</v>
      </c>
      <c r="V44" s="77">
        <f t="shared" si="3"/>
        <v>1.461302302</v>
      </c>
      <c r="W44" s="77">
        <v>5.4</v>
      </c>
      <c r="X44" s="77">
        <f t="shared" si="4"/>
        <v>0.15232722143864597</v>
      </c>
      <c r="Y44" s="77">
        <f t="shared" si="5"/>
        <v>0.11739114000000002</v>
      </c>
      <c r="Z44" s="77">
        <v>16.36</v>
      </c>
      <c r="AA44" s="77">
        <f t="shared" si="6"/>
        <v>0.71161374510656805</v>
      </c>
      <c r="AB44" s="77">
        <v>11.87</v>
      </c>
      <c r="AC44" s="77">
        <f t="shared" si="7"/>
        <v>0.30428095360164059</v>
      </c>
      <c r="AD44" s="77">
        <v>397.73</v>
      </c>
      <c r="AE44" s="77">
        <f t="shared" si="8"/>
        <v>10.195590874134838</v>
      </c>
      <c r="AF44" s="77">
        <f t="shared" si="9"/>
        <v>8.6462922430000013</v>
      </c>
      <c r="AG44" s="78">
        <v>4.2699999999999995E-3</v>
      </c>
      <c r="AH44" s="77">
        <v>350</v>
      </c>
      <c r="AI44" s="77">
        <v>56.1</v>
      </c>
      <c r="AJ44" s="77">
        <v>11.2</v>
      </c>
      <c r="AK44" s="77">
        <v>3.0799999999999996</v>
      </c>
    </row>
    <row r="45" spans="1:37" x14ac:dyDescent="0.3">
      <c r="A45" s="74" t="s">
        <v>459</v>
      </c>
      <c r="B45" s="74">
        <v>17.028797000000001</v>
      </c>
      <c r="C45" s="74">
        <v>74.352220000000003</v>
      </c>
      <c r="D45" s="74" t="s">
        <v>224</v>
      </c>
      <c r="E45" s="74">
        <v>6.99</v>
      </c>
      <c r="F45" s="74">
        <v>145.80000000000001</v>
      </c>
      <c r="G45" s="74">
        <v>1359</v>
      </c>
      <c r="H45" s="74">
        <v>26.52</v>
      </c>
      <c r="I45" s="74">
        <v>680</v>
      </c>
      <c r="J45" s="74">
        <v>1.44</v>
      </c>
      <c r="K45" s="74">
        <v>0.37</v>
      </c>
      <c r="L45" s="79">
        <v>2.9999999999999997E-4</v>
      </c>
      <c r="M45" s="74">
        <v>1.2799999999999998</v>
      </c>
      <c r="N45" s="74">
        <v>0.27</v>
      </c>
      <c r="O45" s="79">
        <v>1.03</v>
      </c>
      <c r="P45" s="80">
        <v>500</v>
      </c>
      <c r="Q45" s="81">
        <f t="shared" si="0"/>
        <v>8.1944644753576057</v>
      </c>
      <c r="R45" s="74">
        <v>4.0999999999999996</v>
      </c>
      <c r="S45" s="75">
        <f t="shared" si="1"/>
        <v>8.5363314595044759E-2</v>
      </c>
      <c r="T45" s="77">
        <v>97.79</v>
      </c>
      <c r="U45" s="77">
        <f t="shared" si="2"/>
        <v>4.8799840311392781</v>
      </c>
      <c r="V45" s="77">
        <f t="shared" si="3"/>
        <v>2.1258665890000001</v>
      </c>
      <c r="W45" s="77">
        <v>7.1</v>
      </c>
      <c r="X45" s="77">
        <f t="shared" si="4"/>
        <v>0.20028208744710857</v>
      </c>
      <c r="Y45" s="77">
        <f t="shared" si="5"/>
        <v>0.15434761</v>
      </c>
      <c r="Z45" s="77">
        <v>14.71</v>
      </c>
      <c r="AA45" s="77">
        <f t="shared" si="6"/>
        <v>0.63984341017833846</v>
      </c>
      <c r="AB45" s="77">
        <v>16.850000000000001</v>
      </c>
      <c r="AC45" s="77">
        <f t="shared" si="7"/>
        <v>0.43194052806972577</v>
      </c>
      <c r="AD45" s="77">
        <v>375.7</v>
      </c>
      <c r="AE45" s="77">
        <f t="shared" si="8"/>
        <v>9.6308638810561398</v>
      </c>
      <c r="AF45" s="77">
        <f t="shared" si="9"/>
        <v>8.1673798699999995</v>
      </c>
      <c r="AG45" s="78">
        <v>2.47E-3</v>
      </c>
      <c r="AH45" s="77">
        <v>450</v>
      </c>
      <c r="AI45" s="77">
        <v>47.4</v>
      </c>
      <c r="AJ45" s="77">
        <v>8.6999999999999993</v>
      </c>
      <c r="AK45" s="77">
        <v>1.2799999999999998</v>
      </c>
    </row>
    <row r="46" spans="1:37" x14ac:dyDescent="0.3">
      <c r="A46" s="74" t="s">
        <v>460</v>
      </c>
      <c r="B46" s="74">
        <v>17.028013000000001</v>
      </c>
      <c r="C46" s="74">
        <v>74.355597000000003</v>
      </c>
      <c r="D46" s="74" t="s">
        <v>254</v>
      </c>
      <c r="E46" s="74">
        <v>9.0500000000000007</v>
      </c>
      <c r="F46" s="74">
        <v>145.30000000000001</v>
      </c>
      <c r="G46" s="74">
        <v>2100</v>
      </c>
      <c r="H46" s="74">
        <v>26.59</v>
      </c>
      <c r="I46" s="74">
        <v>1050</v>
      </c>
      <c r="J46" s="74">
        <v>1.45</v>
      </c>
      <c r="K46" s="74">
        <v>0.65</v>
      </c>
      <c r="L46" s="79">
        <v>6.9999999999999999E-4</v>
      </c>
      <c r="M46" s="74">
        <v>4.7800000000000011</v>
      </c>
      <c r="N46" s="79">
        <v>0.31</v>
      </c>
      <c r="O46" s="79">
        <v>1.8</v>
      </c>
      <c r="P46" s="80">
        <v>461</v>
      </c>
      <c r="Q46" s="81">
        <f t="shared" si="0"/>
        <v>7.5552962462797124</v>
      </c>
      <c r="R46" s="74">
        <v>3.0999999999999996</v>
      </c>
      <c r="S46" s="75">
        <f t="shared" si="1"/>
        <v>6.4542993962107012E-2</v>
      </c>
      <c r="T46" s="77">
        <v>55.65</v>
      </c>
      <c r="U46" s="77">
        <f t="shared" si="2"/>
        <v>2.7770846848645139</v>
      </c>
      <c r="V46" s="77">
        <f t="shared" si="3"/>
        <v>1.2097809150000001</v>
      </c>
      <c r="W46" s="77">
        <v>6.1</v>
      </c>
      <c r="X46" s="77">
        <f t="shared" si="4"/>
        <v>0.17207334273624822</v>
      </c>
      <c r="Y46" s="77">
        <f t="shared" si="5"/>
        <v>0.13260850999999999</v>
      </c>
      <c r="Z46" s="77">
        <v>12.69</v>
      </c>
      <c r="AA46" s="77">
        <f t="shared" si="6"/>
        <v>0.5519791213571118</v>
      </c>
      <c r="AB46" s="77">
        <v>22.85</v>
      </c>
      <c r="AC46" s="77">
        <f t="shared" si="7"/>
        <v>0.58574724429633429</v>
      </c>
      <c r="AD46" s="77">
        <v>356.08</v>
      </c>
      <c r="AE46" s="77">
        <f t="shared" si="8"/>
        <v>9.1279159189951287</v>
      </c>
      <c r="AF46" s="77">
        <f t="shared" si="9"/>
        <v>7.7408587280000001</v>
      </c>
      <c r="AG46" s="78">
        <v>2.47E-3</v>
      </c>
      <c r="AH46" s="77">
        <v>450</v>
      </c>
      <c r="AI46" s="77">
        <v>78.900000000000006</v>
      </c>
      <c r="AJ46" s="77">
        <v>9.6999999999999993</v>
      </c>
      <c r="AK46" s="77">
        <v>4.7800000000000011</v>
      </c>
    </row>
    <row r="47" spans="1:37" x14ac:dyDescent="0.3">
      <c r="A47" s="74" t="s">
        <v>461</v>
      </c>
      <c r="B47" s="74">
        <v>17.027757000000001</v>
      </c>
      <c r="C47" s="74">
        <v>74.359825000000001</v>
      </c>
      <c r="D47" s="74" t="s">
        <v>462</v>
      </c>
      <c r="E47" s="74">
        <v>7.23</v>
      </c>
      <c r="F47" s="74">
        <v>138.4</v>
      </c>
      <c r="G47" s="74">
        <v>1760</v>
      </c>
      <c r="H47" s="74">
        <v>26.51</v>
      </c>
      <c r="I47" s="74">
        <v>879</v>
      </c>
      <c r="J47" s="74">
        <v>1.47</v>
      </c>
      <c r="K47" s="74">
        <v>0.53</v>
      </c>
      <c r="L47" s="79">
        <v>2.0000000000000001E-4</v>
      </c>
      <c r="M47" s="74">
        <v>1.2799999999999998</v>
      </c>
      <c r="N47" s="79">
        <v>0.22</v>
      </c>
      <c r="O47" s="79">
        <v>2.6</v>
      </c>
      <c r="P47" s="80">
        <v>346</v>
      </c>
      <c r="Q47" s="81">
        <f t="shared" si="0"/>
        <v>5.6705694169474636</v>
      </c>
      <c r="R47" s="74">
        <v>5.3000000000000007</v>
      </c>
      <c r="S47" s="75">
        <f t="shared" si="1"/>
        <v>0.11034769935457008</v>
      </c>
      <c r="T47" s="77">
        <v>100.28</v>
      </c>
      <c r="U47" s="77">
        <f t="shared" si="2"/>
        <v>5.0042417286291725</v>
      </c>
      <c r="V47" s="77">
        <f t="shared" si="3"/>
        <v>2.1799969480000003</v>
      </c>
      <c r="W47" s="77">
        <v>8.3000000000000007</v>
      </c>
      <c r="X47" s="77">
        <f t="shared" si="4"/>
        <v>0.23413258110014104</v>
      </c>
      <c r="Y47" s="77">
        <f t="shared" si="5"/>
        <v>0.18043453000000001</v>
      </c>
      <c r="Z47" s="77">
        <v>16.649999999999999</v>
      </c>
      <c r="AA47" s="77">
        <f t="shared" si="6"/>
        <v>0.72422792518486301</v>
      </c>
      <c r="AB47" s="77">
        <v>32.869999999999997</v>
      </c>
      <c r="AC47" s="77">
        <f t="shared" si="7"/>
        <v>0.84260446039477055</v>
      </c>
      <c r="AD47" s="77">
        <v>228.34</v>
      </c>
      <c r="AE47" s="77">
        <f t="shared" si="8"/>
        <v>5.8533709305306338</v>
      </c>
      <c r="AF47" s="77">
        <f t="shared" si="9"/>
        <v>4.9639060940000004</v>
      </c>
      <c r="AG47" s="78">
        <v>2.4469999999999999E-2</v>
      </c>
      <c r="AH47" s="77">
        <v>318</v>
      </c>
      <c r="AI47" s="77">
        <v>66.3</v>
      </c>
      <c r="AJ47" s="77">
        <v>10.1</v>
      </c>
      <c r="AK47" s="77">
        <v>1.2799999999999998</v>
      </c>
    </row>
    <row r="48" spans="1:37" x14ac:dyDescent="0.3">
      <c r="A48" s="74" t="s">
        <v>463</v>
      </c>
      <c r="B48" s="74">
        <v>17.025231000000002</v>
      </c>
      <c r="C48" s="74">
        <v>74.373783000000003</v>
      </c>
      <c r="D48" s="74" t="s">
        <v>346</v>
      </c>
      <c r="E48" s="74">
        <v>7.35</v>
      </c>
      <c r="F48" s="74">
        <v>138.9</v>
      </c>
      <c r="G48" s="74">
        <v>1739</v>
      </c>
      <c r="H48" s="74">
        <v>26.51</v>
      </c>
      <c r="I48" s="74">
        <v>870</v>
      </c>
      <c r="J48" s="74">
        <v>1.46</v>
      </c>
      <c r="K48" s="74">
        <v>0.32</v>
      </c>
      <c r="L48" s="79">
        <v>1E-4</v>
      </c>
      <c r="M48" s="74">
        <v>4.18</v>
      </c>
      <c r="N48" s="79">
        <v>0.16</v>
      </c>
      <c r="O48" s="79">
        <v>3.61</v>
      </c>
      <c r="P48" s="80">
        <v>311</v>
      </c>
      <c r="Q48" s="81">
        <f t="shared" si="0"/>
        <v>5.0969569036724307</v>
      </c>
      <c r="R48" s="74">
        <v>2.0999999999999996</v>
      </c>
      <c r="S48" s="75">
        <f t="shared" si="1"/>
        <v>4.3722673329169258E-2</v>
      </c>
      <c r="T48" s="77">
        <v>78.06</v>
      </c>
      <c r="U48" s="77">
        <f t="shared" si="2"/>
        <v>3.8954039622735666</v>
      </c>
      <c r="V48" s="77">
        <f t="shared" si="3"/>
        <v>1.6969541460000002</v>
      </c>
      <c r="W48" s="77">
        <v>5.0999999999999996</v>
      </c>
      <c r="X48" s="77">
        <f t="shared" si="4"/>
        <v>0.14386459802538784</v>
      </c>
      <c r="Y48" s="77">
        <f t="shared" si="5"/>
        <v>0.11086941</v>
      </c>
      <c r="Z48" s="77">
        <v>13.41</v>
      </c>
      <c r="AA48" s="77">
        <f t="shared" si="6"/>
        <v>0.58329708568943028</v>
      </c>
      <c r="AB48" s="77">
        <v>16.95</v>
      </c>
      <c r="AC48" s="77">
        <f t="shared" si="7"/>
        <v>0.43450397334016921</v>
      </c>
      <c r="AD48" s="77">
        <v>224.51</v>
      </c>
      <c r="AE48" s="77">
        <f t="shared" si="8"/>
        <v>5.7551909766726483</v>
      </c>
      <c r="AF48" s="77">
        <f t="shared" si="9"/>
        <v>4.8806453410000001</v>
      </c>
      <c r="AG48" s="78">
        <v>1.6469999999999999E-2</v>
      </c>
      <c r="AH48" s="77">
        <v>438</v>
      </c>
      <c r="AI48" s="77">
        <v>83.8</v>
      </c>
      <c r="AJ48" s="77">
        <v>10.8</v>
      </c>
      <c r="AK48" s="77">
        <v>4.18</v>
      </c>
    </row>
    <row r="49" spans="1:37" x14ac:dyDescent="0.3">
      <c r="A49" s="74" t="s">
        <v>464</v>
      </c>
      <c r="B49" s="74">
        <v>17.024916999999999</v>
      </c>
      <c r="C49" s="74">
        <v>74.373885000000001</v>
      </c>
      <c r="D49" s="74" t="s">
        <v>422</v>
      </c>
      <c r="E49" s="74">
        <v>9.1999999999999993</v>
      </c>
      <c r="F49" s="74">
        <v>139</v>
      </c>
      <c r="G49" s="74">
        <v>1526</v>
      </c>
      <c r="H49" s="74">
        <v>26.5</v>
      </c>
      <c r="I49" s="74">
        <v>762</v>
      </c>
      <c r="J49" s="74">
        <v>1.48</v>
      </c>
      <c r="K49" s="74">
        <v>0.56999999999999995</v>
      </c>
      <c r="L49" s="79">
        <v>2.9999999999999997E-4</v>
      </c>
      <c r="M49" s="74">
        <v>1.3800000000000003</v>
      </c>
      <c r="N49" s="79">
        <v>0.84</v>
      </c>
      <c r="O49" s="79">
        <v>0.84</v>
      </c>
      <c r="P49" s="80">
        <v>461</v>
      </c>
      <c r="Q49" s="81">
        <f t="shared" si="0"/>
        <v>7.5552962462797124</v>
      </c>
      <c r="R49" s="74">
        <v>3.5</v>
      </c>
      <c r="S49" s="75">
        <f t="shared" si="1"/>
        <v>7.2871122215282108E-2</v>
      </c>
      <c r="T49" s="77">
        <v>100.06</v>
      </c>
      <c r="U49" s="77">
        <f t="shared" si="2"/>
        <v>4.993263136883078</v>
      </c>
      <c r="V49" s="77">
        <f t="shared" si="3"/>
        <v>2.1752143460000002</v>
      </c>
      <c r="W49" s="77">
        <v>6.5</v>
      </c>
      <c r="X49" s="77">
        <f t="shared" si="4"/>
        <v>0.18335684062059238</v>
      </c>
      <c r="Y49" s="77">
        <f t="shared" si="5"/>
        <v>0.14130415000000002</v>
      </c>
      <c r="Z49" s="77">
        <v>16.97</v>
      </c>
      <c r="AA49" s="77">
        <f t="shared" si="6"/>
        <v>0.7381470204436712</v>
      </c>
      <c r="AB49" s="77">
        <v>19.739999999999998</v>
      </c>
      <c r="AC49" s="77">
        <f t="shared" si="7"/>
        <v>0.50602409638554213</v>
      </c>
      <c r="AD49" s="77">
        <v>334.28</v>
      </c>
      <c r="AE49" s="77">
        <f t="shared" si="8"/>
        <v>8.5690848500384522</v>
      </c>
      <c r="AF49" s="77">
        <f t="shared" si="9"/>
        <v>7.2669463479999994</v>
      </c>
      <c r="AG49" s="78">
        <v>2.147E-2</v>
      </c>
      <c r="AH49" s="77">
        <v>398</v>
      </c>
      <c r="AI49" s="77">
        <v>74.7</v>
      </c>
      <c r="AJ49" s="77">
        <v>8.6999999999999993</v>
      </c>
      <c r="AK49" s="77">
        <v>1.3800000000000003</v>
      </c>
    </row>
    <row r="50" spans="1:37" x14ac:dyDescent="0.3">
      <c r="A50" s="74" t="s">
        <v>465</v>
      </c>
      <c r="B50" s="74">
        <v>17.024319999999999</v>
      </c>
      <c r="C50" s="74">
        <v>74.373724999999993</v>
      </c>
      <c r="D50" s="74" t="s">
        <v>199</v>
      </c>
      <c r="E50" s="74">
        <v>7.7</v>
      </c>
      <c r="F50" s="74">
        <v>143.1</v>
      </c>
      <c r="G50" s="74">
        <v>1463</v>
      </c>
      <c r="H50" s="74">
        <v>26.54</v>
      </c>
      <c r="I50" s="74">
        <v>731</v>
      </c>
      <c r="J50" s="74">
        <v>1.44</v>
      </c>
      <c r="K50" s="74">
        <v>0.44</v>
      </c>
      <c r="L50" s="79">
        <v>1E-4</v>
      </c>
      <c r="M50" s="74">
        <v>3.0799999999999996</v>
      </c>
      <c r="N50" s="74">
        <v>0.11</v>
      </c>
      <c r="O50" s="79">
        <v>1.3</v>
      </c>
      <c r="P50" s="80">
        <v>487</v>
      </c>
      <c r="Q50" s="81">
        <f t="shared" si="0"/>
        <v>7.9814083989983082</v>
      </c>
      <c r="R50" s="74">
        <v>9.3000000000000007</v>
      </c>
      <c r="S50" s="75">
        <f t="shared" si="1"/>
        <v>0.19362898188632105</v>
      </c>
      <c r="T50" s="77">
        <v>115.25</v>
      </c>
      <c r="U50" s="77">
        <f t="shared" si="2"/>
        <v>5.7512849942611899</v>
      </c>
      <c r="V50" s="77">
        <f t="shared" si="3"/>
        <v>2.5054312750000003</v>
      </c>
      <c r="W50" s="77">
        <v>12.3</v>
      </c>
      <c r="X50" s="77">
        <f t="shared" si="4"/>
        <v>0.34696755994358253</v>
      </c>
      <c r="Y50" s="77">
        <f t="shared" si="5"/>
        <v>0.26739093000000003</v>
      </c>
      <c r="Z50" s="77">
        <v>15.11</v>
      </c>
      <c r="AA50" s="77">
        <f t="shared" si="6"/>
        <v>0.65724227925184864</v>
      </c>
      <c r="AB50" s="77">
        <v>21.68</v>
      </c>
      <c r="AC50" s="77">
        <f t="shared" si="7"/>
        <v>0.55575493463214565</v>
      </c>
      <c r="AD50" s="77">
        <v>327.76</v>
      </c>
      <c r="AE50" s="77">
        <f t="shared" si="8"/>
        <v>8.4019482184055381</v>
      </c>
      <c r="AF50" s="77">
        <f t="shared" si="9"/>
        <v>7.1252074160000003</v>
      </c>
      <c r="AG50" s="78">
        <v>3.0699999999999998E-3</v>
      </c>
      <c r="AH50" s="77">
        <v>322</v>
      </c>
      <c r="AI50" s="77">
        <v>63.4</v>
      </c>
      <c r="AJ50" s="77">
        <v>6.8</v>
      </c>
      <c r="AK50" s="77">
        <v>3.0799999999999996</v>
      </c>
    </row>
    <row r="51" spans="1:37" x14ac:dyDescent="0.3">
      <c r="A51" s="74" t="s">
        <v>466</v>
      </c>
      <c r="B51" s="74">
        <v>17.024664999999999</v>
      </c>
      <c r="C51" s="74">
        <v>74.373831999999993</v>
      </c>
      <c r="D51" s="74" t="s">
        <v>224</v>
      </c>
      <c r="E51" s="74">
        <v>7.5</v>
      </c>
      <c r="F51" s="74">
        <v>140.19999999999999</v>
      </c>
      <c r="G51" s="74">
        <v>1413</v>
      </c>
      <c r="H51" s="74">
        <v>26.5</v>
      </c>
      <c r="I51" s="74">
        <v>706</v>
      </c>
      <c r="J51" s="74">
        <v>1.45</v>
      </c>
      <c r="K51" s="74">
        <v>0.81</v>
      </c>
      <c r="L51" s="79">
        <v>1E-4</v>
      </c>
      <c r="M51" s="74">
        <v>1.2799999999999998</v>
      </c>
      <c r="N51" s="74">
        <v>0.62</v>
      </c>
      <c r="O51" s="79">
        <v>1.1200000000000001</v>
      </c>
      <c r="P51" s="80">
        <v>351</v>
      </c>
      <c r="Q51" s="81">
        <f t="shared" si="0"/>
        <v>5.7525140617010395</v>
      </c>
      <c r="R51" s="74">
        <v>14.600000000000001</v>
      </c>
      <c r="S51" s="75">
        <f t="shared" si="1"/>
        <v>0.30397668124089111</v>
      </c>
      <c r="T51" s="77">
        <v>87.61</v>
      </c>
      <c r="U51" s="77">
        <f t="shared" si="2"/>
        <v>4.3719746494336045</v>
      </c>
      <c r="V51" s="77">
        <f t="shared" si="3"/>
        <v>1.9045625510000002</v>
      </c>
      <c r="W51" s="77">
        <v>17.600000000000001</v>
      </c>
      <c r="X51" s="77">
        <f t="shared" si="4"/>
        <v>0.49647390691114246</v>
      </c>
      <c r="Y51" s="77">
        <f t="shared" si="5"/>
        <v>0.38260816000000003</v>
      </c>
      <c r="Z51" s="77">
        <v>11.04</v>
      </c>
      <c r="AA51" s="77">
        <f t="shared" si="6"/>
        <v>0.4802087864288821</v>
      </c>
      <c r="AB51" s="77">
        <v>13.3</v>
      </c>
      <c r="AC51" s="77">
        <f t="shared" si="7"/>
        <v>0.34093822096898235</v>
      </c>
      <c r="AD51" s="77">
        <v>226.44</v>
      </c>
      <c r="AE51" s="77">
        <f t="shared" si="8"/>
        <v>5.8046654703922069</v>
      </c>
      <c r="AF51" s="77">
        <f t="shared" si="9"/>
        <v>4.9226018040000001</v>
      </c>
      <c r="AG51" s="78">
        <v>7.4700000000000001E-3</v>
      </c>
      <c r="AH51" s="77">
        <v>362</v>
      </c>
      <c r="AI51" s="77">
        <v>53.22</v>
      </c>
      <c r="AJ51" s="77">
        <v>7.6</v>
      </c>
      <c r="AK51" s="77">
        <v>1.2799999999999998</v>
      </c>
    </row>
    <row r="52" spans="1:37" x14ac:dyDescent="0.3">
      <c r="A52" s="74" t="s">
        <v>467</v>
      </c>
      <c r="B52" s="74">
        <v>17.024804</v>
      </c>
      <c r="C52" s="74">
        <v>74.373880999999997</v>
      </c>
      <c r="D52" s="74" t="s">
        <v>224</v>
      </c>
      <c r="E52" s="74">
        <v>7.3</v>
      </c>
      <c r="F52" s="74">
        <v>137.5</v>
      </c>
      <c r="G52" s="74">
        <v>1571</v>
      </c>
      <c r="H52" s="74">
        <v>26.56</v>
      </c>
      <c r="I52" s="74">
        <v>785</v>
      </c>
      <c r="J52" s="74">
        <v>1.45</v>
      </c>
      <c r="K52" s="74">
        <v>0.43</v>
      </c>
      <c r="L52" s="79">
        <v>2.9999999999999997E-4</v>
      </c>
      <c r="M52" s="74">
        <v>4.7800000000000011</v>
      </c>
      <c r="N52" s="74">
        <v>0.33</v>
      </c>
      <c r="O52" s="79">
        <v>0.81</v>
      </c>
      <c r="P52" s="80">
        <v>400</v>
      </c>
      <c r="Q52" s="81">
        <f t="shared" si="0"/>
        <v>6.5555715802860846</v>
      </c>
      <c r="R52" s="74">
        <v>13.399999999999999</v>
      </c>
      <c r="S52" s="75">
        <f t="shared" si="1"/>
        <v>0.27899229648136575</v>
      </c>
      <c r="T52" s="77">
        <v>109</v>
      </c>
      <c r="U52" s="77">
        <f t="shared" si="2"/>
        <v>5.4393931832925793</v>
      </c>
      <c r="V52" s="77">
        <f t="shared" si="3"/>
        <v>2.3695618999999999</v>
      </c>
      <c r="W52" s="77">
        <v>16.399999999999999</v>
      </c>
      <c r="X52" s="77">
        <f t="shared" si="4"/>
        <v>0.46262341325810996</v>
      </c>
      <c r="Y52" s="77">
        <f t="shared" si="5"/>
        <v>0.35652123999999996</v>
      </c>
      <c r="Z52" s="77">
        <v>20.47</v>
      </c>
      <c r="AA52" s="77">
        <f t="shared" si="6"/>
        <v>0.89038712483688565</v>
      </c>
      <c r="AB52" s="77">
        <v>18.940000000000001</v>
      </c>
      <c r="AC52" s="77">
        <f t="shared" si="7"/>
        <v>0.48551653422199442</v>
      </c>
      <c r="AD52" s="77">
        <v>315.42</v>
      </c>
      <c r="AE52" s="77">
        <f t="shared" si="8"/>
        <v>8.0856190720328129</v>
      </c>
      <c r="AF52" s="77">
        <f t="shared" si="9"/>
        <v>6.8569469220000006</v>
      </c>
      <c r="AG52" s="78">
        <v>3.1700000000000001E-3</v>
      </c>
      <c r="AH52" s="77">
        <v>318</v>
      </c>
      <c r="AI52" s="77">
        <v>72.8</v>
      </c>
      <c r="AJ52" s="77">
        <v>8</v>
      </c>
      <c r="AK52" s="77">
        <v>4.7800000000000011</v>
      </c>
    </row>
    <row r="53" spans="1:37" x14ac:dyDescent="0.3">
      <c r="A53" s="74" t="s">
        <v>468</v>
      </c>
      <c r="B53" s="74">
        <v>17.025233</v>
      </c>
      <c r="C53" s="74">
        <v>74.373883000000006</v>
      </c>
      <c r="D53" s="74" t="s">
        <v>224</v>
      </c>
      <c r="E53" s="74">
        <v>7.05</v>
      </c>
      <c r="F53" s="74">
        <v>138.69999999999999</v>
      </c>
      <c r="G53" s="74">
        <v>1574</v>
      </c>
      <c r="H53" s="74">
        <v>26.58</v>
      </c>
      <c r="I53" s="74">
        <v>716</v>
      </c>
      <c r="J53" s="74">
        <v>1.45</v>
      </c>
      <c r="K53" s="74">
        <v>0.38</v>
      </c>
      <c r="L53" s="79">
        <v>2.0000000000000001E-4</v>
      </c>
      <c r="M53" s="74">
        <v>1.5799999999999996</v>
      </c>
      <c r="N53" s="74">
        <v>1.2E-2</v>
      </c>
      <c r="O53" s="79">
        <v>0.44</v>
      </c>
      <c r="P53" s="80">
        <v>272</v>
      </c>
      <c r="Q53" s="81">
        <f t="shared" si="0"/>
        <v>4.4577886745945374</v>
      </c>
      <c r="R53" s="74">
        <v>17.899999999999999</v>
      </c>
      <c r="S53" s="75">
        <f t="shared" si="1"/>
        <v>0.37268373932958565</v>
      </c>
      <c r="T53" s="77">
        <v>85.35</v>
      </c>
      <c r="U53" s="77">
        <f t="shared" si="2"/>
        <v>4.2591945705873542</v>
      </c>
      <c r="V53" s="77">
        <f t="shared" si="3"/>
        <v>1.855432185</v>
      </c>
      <c r="W53" s="77">
        <v>20.9</v>
      </c>
      <c r="X53" s="77">
        <f t="shared" si="4"/>
        <v>0.58956276445698153</v>
      </c>
      <c r="Y53" s="77">
        <f t="shared" si="5"/>
        <v>0.45434719000000001</v>
      </c>
      <c r="Z53" s="77">
        <v>13.89</v>
      </c>
      <c r="AA53" s="77">
        <f t="shared" si="6"/>
        <v>0.60417572857764257</v>
      </c>
      <c r="AB53" s="77">
        <v>22.16</v>
      </c>
      <c r="AC53" s="77">
        <f t="shared" si="7"/>
        <v>0.56805947193027428</v>
      </c>
      <c r="AD53" s="77">
        <v>201.45</v>
      </c>
      <c r="AE53" s="77">
        <f t="shared" si="8"/>
        <v>5.1640604973083821</v>
      </c>
      <c r="AF53" s="77">
        <f t="shared" si="9"/>
        <v>4.3793416949999999</v>
      </c>
      <c r="AG53" s="78">
        <v>4.2699999999999995E-3</v>
      </c>
      <c r="AH53" s="77">
        <v>322</v>
      </c>
      <c r="AI53" s="77">
        <v>63.9</v>
      </c>
      <c r="AJ53" s="77">
        <v>7.8</v>
      </c>
      <c r="AK53" s="77">
        <v>1.5799999999999996</v>
      </c>
    </row>
  </sheetData>
  <mergeCells count="10">
    <mergeCell ref="T2:V2"/>
    <mergeCell ref="W2:Y2"/>
    <mergeCell ref="Z2:AA2"/>
    <mergeCell ref="AB2:AC2"/>
    <mergeCell ref="AD2:AF2"/>
    <mergeCell ref="E2:E3"/>
    <mergeCell ref="F2:F3"/>
    <mergeCell ref="P2:Q2"/>
    <mergeCell ref="R2:S2"/>
    <mergeCell ref="A1:D1"/>
  </mergeCells>
  <dataValidations count="1">
    <dataValidation type="custom" allowBlank="1" showDropDown="1" sqref="F4:J53" xr:uid="{62942BFB-EF3C-4120-8616-93837A0785AA}">
      <formula1>AND(ISNUMBER(F4),(NOT(OR(NOT(ISERROR(DATEVALUE(F4))), AND(ISNUMBER(F4), LEFT(CELL("format", F4))="D")))))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7755-871D-4A47-B9A7-46C88CCAAE88}">
  <dimension ref="A1:DC53"/>
  <sheetViews>
    <sheetView workbookViewId="0">
      <selection activeCell="G7" sqref="G7"/>
    </sheetView>
  </sheetViews>
  <sheetFormatPr defaultRowHeight="14.4" x14ac:dyDescent="0.3"/>
  <sheetData>
    <row r="1" spans="1:107" ht="26.4" thickBot="1" x14ac:dyDescent="0.55000000000000004">
      <c r="A1" s="244" t="s">
        <v>1117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07" ht="63" thickBot="1" x14ac:dyDescent="0.35">
      <c r="F2" s="115" t="s">
        <v>472</v>
      </c>
      <c r="G2" s="116"/>
      <c r="H2" s="116"/>
      <c r="I2" s="116"/>
      <c r="J2" s="116"/>
      <c r="K2" s="116"/>
      <c r="L2" s="117"/>
      <c r="M2" s="115" t="s">
        <v>473</v>
      </c>
      <c r="N2" s="116"/>
      <c r="O2" s="116"/>
      <c r="P2" s="117"/>
      <c r="Q2" s="115" t="s">
        <v>474</v>
      </c>
      <c r="R2" s="116"/>
      <c r="S2" s="116"/>
      <c r="T2" s="117"/>
      <c r="U2" s="115" t="s">
        <v>475</v>
      </c>
      <c r="V2" s="116"/>
      <c r="W2" s="116"/>
      <c r="X2" s="117"/>
      <c r="AA2" s="118" t="s">
        <v>8</v>
      </c>
      <c r="AB2" s="118" t="s">
        <v>11</v>
      </c>
      <c r="AC2" s="118" t="s">
        <v>12</v>
      </c>
      <c r="AD2" s="118" t="s">
        <v>476</v>
      </c>
      <c r="AE2" s="118" t="s">
        <v>477</v>
      </c>
      <c r="AF2" s="118" t="s">
        <v>478</v>
      </c>
      <c r="AG2" s="118"/>
      <c r="AH2" s="118" t="s">
        <v>10</v>
      </c>
      <c r="AI2" s="118" t="s">
        <v>476</v>
      </c>
      <c r="AJ2" s="119" t="s">
        <v>29</v>
      </c>
      <c r="AK2" s="120"/>
      <c r="AL2" s="121" t="s">
        <v>479</v>
      </c>
      <c r="AM2" s="122" t="s">
        <v>480</v>
      </c>
      <c r="AN2" s="123" t="s">
        <v>29</v>
      </c>
      <c r="AO2" s="124"/>
      <c r="AP2" s="125" t="s">
        <v>479</v>
      </c>
      <c r="AQ2" s="126" t="s">
        <v>481</v>
      </c>
      <c r="AR2" s="127" t="s">
        <v>482</v>
      </c>
      <c r="AS2" s="128" t="s">
        <v>483</v>
      </c>
      <c r="AT2" s="128"/>
      <c r="AU2" s="128"/>
      <c r="AV2" s="128"/>
      <c r="AW2" s="129" t="s">
        <v>4</v>
      </c>
      <c r="AX2" s="129"/>
      <c r="AY2" s="129"/>
      <c r="AZ2" s="129"/>
      <c r="BA2" s="129"/>
      <c r="BB2" s="130" t="s">
        <v>484</v>
      </c>
      <c r="BC2" s="131"/>
      <c r="BD2" s="131"/>
      <c r="BE2" s="132"/>
      <c r="BF2" s="133" t="s">
        <v>5</v>
      </c>
      <c r="BG2" s="133"/>
      <c r="BH2" s="133"/>
      <c r="BI2" s="133"/>
      <c r="BJ2" s="133"/>
      <c r="BK2" s="134" t="s">
        <v>407</v>
      </c>
      <c r="BL2" s="134"/>
      <c r="BM2" s="134"/>
      <c r="BN2" s="134"/>
      <c r="BO2" s="134"/>
      <c r="BP2" s="134"/>
      <c r="BQ2" s="135" t="s">
        <v>6</v>
      </c>
      <c r="BR2" s="136"/>
      <c r="BS2" s="136"/>
      <c r="BT2" s="136"/>
      <c r="BU2" s="136"/>
      <c r="BV2" s="137"/>
      <c r="BW2" s="138" t="s">
        <v>485</v>
      </c>
      <c r="BX2" s="139"/>
      <c r="BY2" s="140"/>
      <c r="BZ2" s="141" t="s">
        <v>16</v>
      </c>
      <c r="CA2" s="141" t="s">
        <v>15</v>
      </c>
      <c r="CB2" s="142" t="s">
        <v>14</v>
      </c>
      <c r="CC2" s="143"/>
      <c r="CD2" s="144"/>
      <c r="CE2" s="145" t="s">
        <v>408</v>
      </c>
      <c r="CF2" s="146"/>
      <c r="CG2" s="146"/>
      <c r="CH2" s="146"/>
      <c r="CI2" s="147"/>
      <c r="CJ2" s="142" t="s">
        <v>486</v>
      </c>
      <c r="CK2" s="144"/>
      <c r="CL2" s="148"/>
      <c r="CM2" s="142" t="s">
        <v>17</v>
      </c>
      <c r="CN2" s="143"/>
      <c r="CO2" s="144"/>
      <c r="CP2" s="142" t="s">
        <v>487</v>
      </c>
      <c r="CQ2" s="143"/>
      <c r="CR2" s="144"/>
      <c r="CS2" s="142" t="s">
        <v>3</v>
      </c>
      <c r="CT2" s="143"/>
      <c r="CU2" s="144"/>
      <c r="CV2" s="149" t="s">
        <v>488</v>
      </c>
      <c r="CW2" s="150" t="s">
        <v>489</v>
      </c>
      <c r="CX2" s="150" t="s">
        <v>490</v>
      </c>
      <c r="CY2" s="150" t="s">
        <v>491</v>
      </c>
      <c r="CZ2" s="151" t="s">
        <v>492</v>
      </c>
      <c r="DA2" s="150" t="s">
        <v>493</v>
      </c>
      <c r="DB2" s="152" t="s">
        <v>494</v>
      </c>
      <c r="DC2" s="153" t="s">
        <v>495</v>
      </c>
    </row>
    <row r="3" spans="1:107" ht="62.4" x14ac:dyDescent="0.3">
      <c r="A3" s="154" t="s">
        <v>496</v>
      </c>
      <c r="B3" s="155" t="s">
        <v>497</v>
      </c>
      <c r="C3" s="155" t="s">
        <v>498</v>
      </c>
      <c r="D3" s="155"/>
      <c r="E3" s="155"/>
      <c r="F3" s="156" t="s">
        <v>499</v>
      </c>
      <c r="G3" s="156" t="s">
        <v>500</v>
      </c>
      <c r="H3" s="156" t="s">
        <v>501</v>
      </c>
      <c r="I3" s="156" t="s">
        <v>502</v>
      </c>
      <c r="J3" s="156" t="s">
        <v>503</v>
      </c>
      <c r="K3" s="156" t="s">
        <v>504</v>
      </c>
      <c r="L3" s="156" t="s">
        <v>505</v>
      </c>
      <c r="M3" s="156" t="s">
        <v>499</v>
      </c>
      <c r="N3" s="156" t="s">
        <v>503</v>
      </c>
      <c r="O3" s="156" t="s">
        <v>504</v>
      </c>
      <c r="P3" s="156" t="s">
        <v>505</v>
      </c>
      <c r="Q3" s="156" t="s">
        <v>499</v>
      </c>
      <c r="R3" s="156" t="s">
        <v>503</v>
      </c>
      <c r="S3" s="156" t="s">
        <v>504</v>
      </c>
      <c r="T3" s="156" t="s">
        <v>505</v>
      </c>
      <c r="U3" s="156" t="s">
        <v>499</v>
      </c>
      <c r="V3" s="156" t="s">
        <v>503</v>
      </c>
      <c r="W3" s="156" t="s">
        <v>504</v>
      </c>
      <c r="X3" s="156" t="s">
        <v>505</v>
      </c>
      <c r="Y3" s="157" t="s">
        <v>506</v>
      </c>
      <c r="Z3" s="157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9" t="s">
        <v>507</v>
      </c>
      <c r="AT3" s="160"/>
      <c r="AU3" s="161" t="s">
        <v>479</v>
      </c>
      <c r="AV3" s="162" t="s">
        <v>508</v>
      </c>
      <c r="AW3" s="163" t="s">
        <v>507</v>
      </c>
      <c r="AX3" s="164"/>
      <c r="AY3" s="165" t="s">
        <v>479</v>
      </c>
      <c r="AZ3" s="166" t="s">
        <v>509</v>
      </c>
      <c r="BA3" s="167" t="s">
        <v>28</v>
      </c>
      <c r="BB3" s="168" t="s">
        <v>507</v>
      </c>
      <c r="BC3" s="169"/>
      <c r="BD3" s="170" t="s">
        <v>479</v>
      </c>
      <c r="BE3" s="171" t="s">
        <v>510</v>
      </c>
      <c r="BF3" s="172" t="s">
        <v>507</v>
      </c>
      <c r="BG3" s="173"/>
      <c r="BH3" s="174" t="s">
        <v>479</v>
      </c>
      <c r="BI3" s="174" t="s">
        <v>511</v>
      </c>
      <c r="BJ3" s="175" t="s">
        <v>28</v>
      </c>
      <c r="BK3" s="176" t="s">
        <v>507</v>
      </c>
      <c r="BL3" s="177"/>
      <c r="BM3" s="178" t="s">
        <v>479</v>
      </c>
      <c r="BN3" s="178" t="s">
        <v>511</v>
      </c>
      <c r="BO3" s="179" t="s">
        <v>28</v>
      </c>
      <c r="BP3" s="178" t="s">
        <v>410</v>
      </c>
      <c r="BQ3" s="180" t="s">
        <v>507</v>
      </c>
      <c r="BR3" s="180"/>
      <c r="BS3" s="181" t="s">
        <v>479</v>
      </c>
      <c r="BT3" s="182" t="s">
        <v>511</v>
      </c>
      <c r="BU3" s="179" t="s">
        <v>28</v>
      </c>
      <c r="BV3" s="178" t="s">
        <v>410</v>
      </c>
      <c r="BW3" s="182" t="s">
        <v>507</v>
      </c>
      <c r="BX3" s="179" t="s">
        <v>28</v>
      </c>
      <c r="BY3" s="178" t="s">
        <v>410</v>
      </c>
      <c r="BZ3" s="183" t="s">
        <v>507</v>
      </c>
      <c r="CA3" s="183" t="s">
        <v>507</v>
      </c>
      <c r="CB3" s="184" t="s">
        <v>507</v>
      </c>
      <c r="CC3" s="185"/>
      <c r="CD3" s="186" t="s">
        <v>512</v>
      </c>
      <c r="CE3" s="145" t="s">
        <v>507</v>
      </c>
      <c r="CF3" s="147"/>
      <c r="CG3" s="187" t="s">
        <v>512</v>
      </c>
      <c r="CH3" s="188" t="s">
        <v>28</v>
      </c>
      <c r="CI3" s="189" t="s">
        <v>410</v>
      </c>
      <c r="CJ3" s="184" t="s">
        <v>507</v>
      </c>
      <c r="CK3" s="185"/>
      <c r="CL3" s="186" t="s">
        <v>512</v>
      </c>
      <c r="CM3" s="184" t="s">
        <v>507</v>
      </c>
      <c r="CN3" s="185"/>
      <c r="CO3" s="186" t="s">
        <v>512</v>
      </c>
      <c r="CP3" s="184" t="s">
        <v>507</v>
      </c>
      <c r="CQ3" s="185"/>
      <c r="CR3" s="186" t="s">
        <v>512</v>
      </c>
      <c r="CS3" s="184" t="s">
        <v>507</v>
      </c>
      <c r="CT3" s="185"/>
      <c r="CU3" s="186" t="s">
        <v>512</v>
      </c>
      <c r="CV3" s="2" t="s">
        <v>28</v>
      </c>
      <c r="CW3" s="158" t="s">
        <v>28</v>
      </c>
      <c r="CX3" s="158" t="s">
        <v>28</v>
      </c>
      <c r="CY3" s="158" t="s">
        <v>28</v>
      </c>
      <c r="CZ3" s="158" t="s">
        <v>28</v>
      </c>
      <c r="DA3" s="158" t="s">
        <v>28</v>
      </c>
      <c r="DB3" s="158" t="s">
        <v>28</v>
      </c>
      <c r="DC3" s="2"/>
    </row>
    <row r="4" spans="1:107" ht="15.6" x14ac:dyDescent="0.3">
      <c r="A4" s="183" t="s">
        <v>513</v>
      </c>
      <c r="B4" s="74">
        <v>26.100555555555555</v>
      </c>
      <c r="C4" s="74">
        <v>91.798333333333332</v>
      </c>
      <c r="D4" s="74"/>
      <c r="E4" s="74"/>
      <c r="F4" s="190">
        <v>3</v>
      </c>
      <c r="G4" s="74"/>
      <c r="H4" s="74"/>
      <c r="I4" s="74"/>
      <c r="J4" s="74"/>
      <c r="K4" s="74"/>
      <c r="L4" s="74"/>
      <c r="M4" s="190">
        <v>4</v>
      </c>
      <c r="N4" s="74"/>
      <c r="O4" s="74"/>
      <c r="P4" s="74"/>
      <c r="Q4" s="190">
        <v>3</v>
      </c>
      <c r="R4" s="74"/>
      <c r="S4" s="74"/>
      <c r="T4" s="74"/>
      <c r="U4" s="190">
        <v>2</v>
      </c>
      <c r="V4" s="74"/>
      <c r="W4" s="74"/>
      <c r="X4" s="74"/>
      <c r="Y4" s="74"/>
      <c r="Z4" s="183" t="s">
        <v>514</v>
      </c>
      <c r="AA4" s="74">
        <v>6.4</v>
      </c>
      <c r="AB4" s="191">
        <v>26.3</v>
      </c>
      <c r="AC4" s="74">
        <v>1.2</v>
      </c>
      <c r="AD4" s="74">
        <v>215</v>
      </c>
      <c r="AE4" s="74">
        <v>112</v>
      </c>
      <c r="AF4" s="192">
        <f>AE4+205</f>
        <v>317</v>
      </c>
      <c r="AG4" s="193">
        <f>AF4/1000</f>
        <v>0.317</v>
      </c>
      <c r="AH4" s="74">
        <v>248</v>
      </c>
      <c r="AI4" s="74">
        <v>215</v>
      </c>
      <c r="AJ4" s="194">
        <v>0</v>
      </c>
      <c r="AK4" s="195">
        <v>0</v>
      </c>
      <c r="AL4" s="196">
        <f>_xlfn.STDEV.S(AJ4,AK4)</f>
        <v>0</v>
      </c>
      <c r="AM4" s="197">
        <f>(AJ4+AK4)/2</f>
        <v>0</v>
      </c>
      <c r="AN4" s="197">
        <v>0</v>
      </c>
      <c r="AO4" s="197">
        <v>0</v>
      </c>
      <c r="AP4" s="197">
        <f>_xlfn.STDEV.S(AN4,AO4)</f>
        <v>0</v>
      </c>
      <c r="AQ4" s="197">
        <f>AN4+AO4</f>
        <v>0</v>
      </c>
      <c r="AR4" s="77">
        <f>(AM4/2)+(AQ4/2)</f>
        <v>0</v>
      </c>
      <c r="AS4" s="198">
        <v>3.4000000000000002E-2</v>
      </c>
      <c r="AT4" s="198">
        <v>2.9000000000000001E-2</v>
      </c>
      <c r="AU4" s="198">
        <f>_xlfn.STDEV.S(AS4,AT4)</f>
        <v>3.5355339059327385E-3</v>
      </c>
      <c r="AV4" s="198">
        <f>(AS4+AT4)/2</f>
        <v>3.15E-2</v>
      </c>
      <c r="AW4" s="197">
        <v>27.122</v>
      </c>
      <c r="AX4" s="197">
        <v>24.835000000000001</v>
      </c>
      <c r="AY4" s="197">
        <f>_xlfn.STDEV.S(AW4,AX4)</f>
        <v>1.6171532085736335</v>
      </c>
      <c r="AZ4" s="197">
        <f>(AW4+AX4)/2</f>
        <v>25.9785</v>
      </c>
      <c r="BA4" s="199">
        <f>(AZ4*1)/22.99</f>
        <v>1.1299913005654634</v>
      </c>
      <c r="BB4" s="197">
        <v>0.184</v>
      </c>
      <c r="BC4" s="197">
        <v>1.9E-2</v>
      </c>
      <c r="BD4" s="197">
        <f>_xlfn.STDEV.S(BB4,BC4)</f>
        <v>0.11667261889578034</v>
      </c>
      <c r="BE4" s="197">
        <f>BB4+BC4</f>
        <v>0.20299999999999999</v>
      </c>
      <c r="BF4" s="200">
        <v>0</v>
      </c>
      <c r="BG4" s="200">
        <v>0</v>
      </c>
      <c r="BH4" s="200">
        <f>_xlfn.STDEV.S(BF4,BG4)</f>
        <v>0</v>
      </c>
      <c r="BI4" s="200">
        <f>(BF4+BG4)/2</f>
        <v>0</v>
      </c>
      <c r="BJ4" s="199">
        <f>(BI4*1)/39.01</f>
        <v>0</v>
      </c>
      <c r="BK4" s="197">
        <v>3</v>
      </c>
      <c r="BL4" s="197">
        <v>0</v>
      </c>
      <c r="BM4" s="197">
        <f>_xlfn.STDEV.S(BK4,BL4)</f>
        <v>2.1213203435596424</v>
      </c>
      <c r="BN4" s="197">
        <f>(BK4+BL4)/2</f>
        <v>1.5</v>
      </c>
      <c r="BO4" s="77">
        <f>(BN4*2)/40.078</f>
        <v>7.485403463246669E-2</v>
      </c>
      <c r="BP4" s="77">
        <f>BN4*0.0217391</f>
        <v>3.2608650000000003E-2</v>
      </c>
      <c r="BQ4" s="197">
        <v>1.163</v>
      </c>
      <c r="BR4" s="197">
        <v>1.7370000000000001</v>
      </c>
      <c r="BS4" s="197">
        <f>_xlfn.STDEV.S(BQ4,BR4)</f>
        <v>0.40587929240107806</v>
      </c>
      <c r="BT4" s="197">
        <f>(BQ4+BR4)/2</f>
        <v>1.4500000000000002</v>
      </c>
      <c r="BU4" s="199">
        <f>(BT4*2)/24.31</f>
        <v>0.11929247223364872</v>
      </c>
      <c r="BV4" s="199">
        <f>BT4*0.0217391</f>
        <v>3.1521695000000002E-2</v>
      </c>
      <c r="BW4" s="196">
        <v>289.99999999999994</v>
      </c>
      <c r="BX4" s="196">
        <f>(BW4*1)/61.0168</f>
        <v>4.7527893957074108</v>
      </c>
      <c r="BY4" s="196">
        <f t="shared" ref="BY4:BY53" si="0">BW4*0.0217391</f>
        <v>6.3043389999999988</v>
      </c>
      <c r="BZ4" s="75">
        <v>0</v>
      </c>
      <c r="CA4" s="75">
        <v>3.3000000000000002E-2</v>
      </c>
      <c r="CB4" s="77">
        <v>0.64800000000000002</v>
      </c>
      <c r="CC4" s="77">
        <v>0.59299999999999997</v>
      </c>
      <c r="CD4" s="77">
        <f>AVERAGE(CB4:CC4)</f>
        <v>0.62050000000000005</v>
      </c>
      <c r="CE4" s="77">
        <v>17.13</v>
      </c>
      <c r="CF4" s="77">
        <v>15.82</v>
      </c>
      <c r="CG4" s="77">
        <f>AVERAGE(CE4:CF4)</f>
        <v>16.475000000000001</v>
      </c>
      <c r="CH4" s="75">
        <f>(CG4*1)/35.45</f>
        <v>0.46473906911142454</v>
      </c>
      <c r="CI4" s="75">
        <f>CG4*0.0217391</f>
        <v>0.35815167250000002</v>
      </c>
      <c r="CJ4" s="77">
        <v>0</v>
      </c>
      <c r="CK4" s="77">
        <v>0</v>
      </c>
      <c r="CL4" s="77">
        <f>AVERAGE(CJ4:CK4)</f>
        <v>0</v>
      </c>
      <c r="CM4" s="77">
        <v>1.153</v>
      </c>
      <c r="CN4" s="77">
        <v>1.7310000000000001</v>
      </c>
      <c r="CO4" s="77">
        <f>AVERAGE(CM4:CN4)</f>
        <v>1.4420000000000002</v>
      </c>
      <c r="CP4" s="77">
        <v>4.2910000000000004</v>
      </c>
      <c r="CQ4" s="77">
        <v>5.1310000000000002</v>
      </c>
      <c r="CR4" s="77">
        <f>AVERAGE(CP4:CQ4)</f>
        <v>4.7110000000000003</v>
      </c>
      <c r="CS4" s="77">
        <v>1.4319999999999999</v>
      </c>
      <c r="CT4" s="77">
        <v>2.0139999999999998</v>
      </c>
      <c r="CU4" s="77">
        <f>AVERAGE(CS4:CT4)</f>
        <v>1.7229999999999999</v>
      </c>
      <c r="CV4" s="201">
        <f>(CU4*2)/96.06</f>
        <v>3.5873412450551735E-2</v>
      </c>
      <c r="CW4" s="202">
        <f>BO4+BU4</f>
        <v>0.1941465068661154</v>
      </c>
      <c r="CX4" s="202">
        <f>CV4+BX4</f>
        <v>4.7886628081579623</v>
      </c>
      <c r="CY4" s="202">
        <f>(CW4/BX4)</f>
        <v>4.0848960621201351E-2</v>
      </c>
      <c r="CZ4" s="202">
        <f>BA4+BJ4</f>
        <v>1.1299913005654634</v>
      </c>
      <c r="DA4" s="202">
        <f>BA4+BJ4+BO4</f>
        <v>1.20484533519793</v>
      </c>
      <c r="DB4" s="202">
        <f>(CZ4/DA4)</f>
        <v>0.93787249496204439</v>
      </c>
      <c r="DC4" s="203"/>
    </row>
    <row r="5" spans="1:107" ht="15.6" x14ac:dyDescent="0.3">
      <c r="A5" s="183" t="s">
        <v>515</v>
      </c>
      <c r="B5" s="204">
        <v>26.1</v>
      </c>
      <c r="C5" s="74">
        <v>91.801944444444445</v>
      </c>
      <c r="D5" s="74"/>
      <c r="E5" s="74"/>
      <c r="F5" s="190">
        <v>4</v>
      </c>
      <c r="G5" s="74"/>
      <c r="H5" s="74"/>
      <c r="I5" s="74"/>
      <c r="J5" s="74"/>
      <c r="K5" s="74"/>
      <c r="L5" s="74"/>
      <c r="M5" s="190">
        <v>3</v>
      </c>
      <c r="N5" s="74"/>
      <c r="O5" s="74"/>
      <c r="P5" s="74"/>
      <c r="Q5" s="190">
        <v>5</v>
      </c>
      <c r="R5" s="74"/>
      <c r="S5" s="74"/>
      <c r="T5" s="74"/>
      <c r="U5" s="190">
        <v>4</v>
      </c>
      <c r="V5" s="74"/>
      <c r="W5" s="74"/>
      <c r="X5" s="74"/>
      <c r="Y5" s="74"/>
      <c r="Z5" s="205">
        <v>80</v>
      </c>
      <c r="AA5" s="74">
        <v>6.9</v>
      </c>
      <c r="AB5" s="191">
        <v>22.23</v>
      </c>
      <c r="AC5" s="74">
        <v>1.3</v>
      </c>
      <c r="AD5" s="74">
        <v>322</v>
      </c>
      <c r="AE5" s="74">
        <v>173</v>
      </c>
      <c r="AF5" s="192">
        <f t="shared" ref="AF5:AF53" si="1">AE5+205</f>
        <v>378</v>
      </c>
      <c r="AG5" s="193">
        <f t="shared" ref="AG5:AG53" si="2">AF5/1000</f>
        <v>0.378</v>
      </c>
      <c r="AH5" s="74">
        <v>372</v>
      </c>
      <c r="AI5" s="74">
        <v>322</v>
      </c>
      <c r="AJ5" s="194">
        <v>0</v>
      </c>
      <c r="AK5" s="195">
        <v>0</v>
      </c>
      <c r="AL5" s="196">
        <f t="shared" ref="AL5:AL53" si="3">_xlfn.STDEV.S(AJ5,AK5)</f>
        <v>0</v>
      </c>
      <c r="AM5" s="197">
        <f t="shared" ref="AM5:AM53" si="4">(AJ5+AK5)/2</f>
        <v>0</v>
      </c>
      <c r="AN5" s="197">
        <v>0</v>
      </c>
      <c r="AO5" s="197">
        <v>0</v>
      </c>
      <c r="AP5" s="197">
        <f t="shared" ref="AP5:AP53" si="5">_xlfn.STDEV.S(AN5,AO5)</f>
        <v>0</v>
      </c>
      <c r="AQ5" s="197">
        <f t="shared" ref="AQ5:AQ53" si="6">AN5+AO5</f>
        <v>0</v>
      </c>
      <c r="AR5" s="77">
        <f t="shared" ref="AR5:AR53" si="7">(AM5/2)+(AQ5/2)</f>
        <v>0</v>
      </c>
      <c r="AS5" s="198">
        <v>2.7E-2</v>
      </c>
      <c r="AT5" s="198">
        <v>2.4E-2</v>
      </c>
      <c r="AU5" s="198">
        <f t="shared" ref="AU5:AU53" si="8">_xlfn.STDEV.S(AS5,AT5)</f>
        <v>2.121320343559642E-3</v>
      </c>
      <c r="AV5" s="198">
        <f t="shared" ref="AV5:AV53" si="9">(AS5+AT5)/2</f>
        <v>2.5500000000000002E-2</v>
      </c>
      <c r="AW5" s="197">
        <v>29.513000000000002</v>
      </c>
      <c r="AX5" s="197">
        <v>28.212</v>
      </c>
      <c r="AY5" s="197">
        <f t="shared" ref="AY5:AY53" si="10">_xlfn.STDEV.S(AW5,AX5)</f>
        <v>0.91994592232369976</v>
      </c>
      <c r="AZ5" s="197">
        <f t="shared" ref="AZ5:AZ53" si="11">(AW5+AX5)/2</f>
        <v>28.862500000000001</v>
      </c>
      <c r="BA5" s="199">
        <f t="shared" ref="BA5:BA53" si="12">(AZ5*1)/22.99</f>
        <v>1.2554371465854721</v>
      </c>
      <c r="BB5" s="197">
        <v>2.4E-2</v>
      </c>
      <c r="BC5" s="197">
        <v>1.6E-2</v>
      </c>
      <c r="BD5" s="197">
        <f t="shared" ref="BD5:BD53" si="13">_xlfn.STDEV.S(BB5,BC5)</f>
        <v>5.6568542494923818E-3</v>
      </c>
      <c r="BE5" s="197">
        <f t="shared" ref="BE5:BE53" si="14">BB5+BC5</f>
        <v>0.04</v>
      </c>
      <c r="BF5" s="200">
        <v>0</v>
      </c>
      <c r="BG5" s="200">
        <v>0</v>
      </c>
      <c r="BH5" s="200">
        <f t="shared" ref="BH5:BH53" si="15">_xlfn.STDEV.S(BF5,BG5)</f>
        <v>0</v>
      </c>
      <c r="BI5" s="200">
        <f t="shared" ref="BI5:BI53" si="16">(BF5+BG5)/2</f>
        <v>0</v>
      </c>
      <c r="BJ5" s="199">
        <f t="shared" ref="BJ5:BJ53" si="17">(BI5*1)/39.01</f>
        <v>0</v>
      </c>
      <c r="BK5" s="197">
        <v>4</v>
      </c>
      <c r="BL5" s="197">
        <v>0</v>
      </c>
      <c r="BM5" s="197">
        <f t="shared" ref="BM5:BM53" si="18">_xlfn.STDEV.S(BK5,BL5)</f>
        <v>2.8284271247461903</v>
      </c>
      <c r="BN5" s="197">
        <f t="shared" ref="BN5:BN53" si="19">(BK5+BL5)/2</f>
        <v>2</v>
      </c>
      <c r="BO5" s="77">
        <f t="shared" ref="BO5:BO53" si="20">(BN5*2)/40.078</f>
        <v>9.9805379509955577E-2</v>
      </c>
      <c r="BP5" s="77">
        <f t="shared" ref="BP5:BP53" si="21">BN5*0.0217391</f>
        <v>4.3478200000000002E-2</v>
      </c>
      <c r="BQ5" s="197">
        <v>1</v>
      </c>
      <c r="BR5" s="197">
        <v>0</v>
      </c>
      <c r="BS5" s="197">
        <f t="shared" ref="BS5:BS53" si="22">_xlfn.STDEV.S(BQ5,BR5)</f>
        <v>0.70710678118654757</v>
      </c>
      <c r="BT5" s="197">
        <f t="shared" ref="BT5:BT53" si="23">(BQ5+BR5)/2</f>
        <v>0.5</v>
      </c>
      <c r="BU5" s="199">
        <f t="shared" ref="BU5:BU53" si="24">(BT5*2)/24.31</f>
        <v>4.1135335252982311E-2</v>
      </c>
      <c r="BV5" s="199">
        <f t="shared" ref="BV5:BV53" si="25">BT5*0.0217391</f>
        <v>1.086955E-2</v>
      </c>
      <c r="BW5" s="196">
        <v>224</v>
      </c>
      <c r="BX5" s="196">
        <f t="shared" ref="BX5:BX53" si="26">(BW5*1)/61.0168</f>
        <v>3.6711200849602075</v>
      </c>
      <c r="BY5" s="196">
        <f t="shared" si="0"/>
        <v>4.8695583999999998</v>
      </c>
      <c r="BZ5" s="75">
        <v>0.1</v>
      </c>
      <c r="CA5" s="75">
        <v>0.24199999999999999</v>
      </c>
      <c r="CB5" s="77">
        <v>0.77900000000000003</v>
      </c>
      <c r="CC5" s="77">
        <v>0.21099999999999999</v>
      </c>
      <c r="CD5" s="77">
        <f t="shared" ref="CD5:CD53" si="27">AVERAGE(CB5:CC5)</f>
        <v>0.495</v>
      </c>
      <c r="CE5" s="77">
        <v>5.8250000000000002</v>
      </c>
      <c r="CF5" s="77">
        <v>6.5309999999999997</v>
      </c>
      <c r="CG5" s="77">
        <f t="shared" ref="CG5:CG53" si="28">AVERAGE(CE5:CF5)</f>
        <v>6.1779999999999999</v>
      </c>
      <c r="CH5" s="75">
        <f t="shared" ref="CH5:CH53" si="29">(CG5*1)/35.45</f>
        <v>0.17427362482369532</v>
      </c>
      <c r="CI5" s="75">
        <f t="shared" ref="CI5:CI53" si="30">CG5*0.0217391</f>
        <v>0.13430415980000002</v>
      </c>
      <c r="CJ5" s="77">
        <v>0</v>
      </c>
      <c r="CK5" s="77">
        <v>0</v>
      </c>
      <c r="CL5" s="77">
        <f t="shared" ref="CL5:CL53" si="31">AVERAGE(CJ5:CK5)</f>
        <v>0</v>
      </c>
      <c r="CM5" s="77">
        <v>1.9139999999999999</v>
      </c>
      <c r="CN5" s="77">
        <v>1.21</v>
      </c>
      <c r="CO5" s="77">
        <f t="shared" ref="CO5:CO53" si="32">AVERAGE(CM5:CN5)</f>
        <v>1.5619999999999998</v>
      </c>
      <c r="CP5" s="77">
        <v>0.86099999999999999</v>
      </c>
      <c r="CQ5" s="77">
        <v>1.117</v>
      </c>
      <c r="CR5" s="77">
        <f t="shared" ref="CR5:CR53" si="33">AVERAGE(CP5:CQ5)</f>
        <v>0.98899999999999999</v>
      </c>
      <c r="CS5" s="77">
        <v>1.2809999999999999</v>
      </c>
      <c r="CT5" s="77">
        <v>1.052</v>
      </c>
      <c r="CU5" s="77">
        <f t="shared" ref="CU5:CU53" si="34">AVERAGE(CS5:CT5)</f>
        <v>1.1665000000000001</v>
      </c>
      <c r="CV5" s="201">
        <f t="shared" ref="CV5:CV53" si="35">(CU5*2)/96.06</f>
        <v>2.4286904018321884E-2</v>
      </c>
      <c r="CW5" s="202">
        <f t="shared" ref="CW5:CW53" si="36">BO5+BU5</f>
        <v>0.1409407147629379</v>
      </c>
      <c r="CX5" s="202">
        <f t="shared" ref="CX5:CX53" si="37">CV5+BX5</f>
        <v>3.6954069889785295</v>
      </c>
      <c r="CY5" s="202">
        <f t="shared" ref="CY5:CY53" si="38">(CW5/BX5)</f>
        <v>3.8391747341728705E-2</v>
      </c>
      <c r="CZ5" s="202">
        <f t="shared" ref="CZ5:CZ53" si="39">BA5+BJ5</f>
        <v>1.2554371465854721</v>
      </c>
      <c r="DA5" s="202">
        <f t="shared" ref="DA5:DA53" si="40">BA5+BJ5+BO5</f>
        <v>1.3552425260954277</v>
      </c>
      <c r="DB5" s="202">
        <f t="shared" ref="DB5:DB53" si="41">(CZ5/DA5)</f>
        <v>0.9263560745857764</v>
      </c>
      <c r="DC5" s="203"/>
    </row>
    <row r="6" spans="1:107" ht="15.6" x14ac:dyDescent="0.3">
      <c r="A6" s="183" t="s">
        <v>516</v>
      </c>
      <c r="B6" s="74">
        <v>26.099444444444444</v>
      </c>
      <c r="C6" s="74">
        <v>91.798611111111114</v>
      </c>
      <c r="D6" s="74"/>
      <c r="E6" s="74"/>
      <c r="F6" s="190">
        <v>6</v>
      </c>
      <c r="G6" s="74"/>
      <c r="H6" s="74"/>
      <c r="I6" s="74"/>
      <c r="J6" s="74"/>
      <c r="K6" s="74"/>
      <c r="L6" s="74"/>
      <c r="M6" s="190">
        <v>5</v>
      </c>
      <c r="N6" s="74"/>
      <c r="O6" s="74"/>
      <c r="P6" s="74"/>
      <c r="Q6" s="190">
        <v>4</v>
      </c>
      <c r="R6" s="74"/>
      <c r="S6" s="74"/>
      <c r="T6" s="74"/>
      <c r="U6" s="190">
        <v>3</v>
      </c>
      <c r="V6" s="74"/>
      <c r="W6" s="74"/>
      <c r="X6" s="74"/>
      <c r="Y6" s="74"/>
      <c r="Z6" s="206">
        <v>120</v>
      </c>
      <c r="AA6" s="74">
        <v>6.7</v>
      </c>
      <c r="AB6" s="191">
        <v>21.78</v>
      </c>
      <c r="AC6" s="74">
        <v>1.5</v>
      </c>
      <c r="AD6" s="74">
        <v>384</v>
      </c>
      <c r="AE6" s="74">
        <v>132</v>
      </c>
      <c r="AF6" s="192">
        <f t="shared" si="1"/>
        <v>337</v>
      </c>
      <c r="AG6" s="193">
        <f t="shared" si="2"/>
        <v>0.33700000000000002</v>
      </c>
      <c r="AH6" s="74">
        <v>421</v>
      </c>
      <c r="AI6" s="74">
        <v>384</v>
      </c>
      <c r="AJ6" s="194">
        <v>0</v>
      </c>
      <c r="AK6" s="195">
        <v>0</v>
      </c>
      <c r="AL6" s="196">
        <f t="shared" si="3"/>
        <v>0</v>
      </c>
      <c r="AM6" s="197">
        <f t="shared" si="4"/>
        <v>0</v>
      </c>
      <c r="AN6" s="197">
        <v>0</v>
      </c>
      <c r="AO6" s="197">
        <v>0</v>
      </c>
      <c r="AP6" s="197">
        <f>_xlfn.STDEV.S(AN6,AO6)</f>
        <v>0</v>
      </c>
      <c r="AQ6" s="197">
        <f t="shared" si="6"/>
        <v>0</v>
      </c>
      <c r="AR6" s="77">
        <f t="shared" si="7"/>
        <v>0</v>
      </c>
      <c r="AS6" s="198">
        <v>0.02</v>
      </c>
      <c r="AT6" s="198">
        <v>1.7999999999999999E-2</v>
      </c>
      <c r="AU6" s="198">
        <f t="shared" si="8"/>
        <v>1.4142135623730963E-3</v>
      </c>
      <c r="AV6" s="198">
        <f t="shared" si="9"/>
        <v>1.9E-2</v>
      </c>
      <c r="AW6" s="197">
        <v>24.916</v>
      </c>
      <c r="AX6" s="197">
        <v>23.597999999999999</v>
      </c>
      <c r="AY6" s="197">
        <f t="shared" si="10"/>
        <v>0.93196673760387061</v>
      </c>
      <c r="AZ6" s="197">
        <f t="shared" si="11"/>
        <v>24.256999999999998</v>
      </c>
      <c r="BA6" s="199">
        <f t="shared" si="12"/>
        <v>1.0551109177903437</v>
      </c>
      <c r="BB6" s="197">
        <v>1.4E-2</v>
      </c>
      <c r="BC6" s="197">
        <v>0.51800000000000002</v>
      </c>
      <c r="BD6" s="197">
        <f t="shared" si="13"/>
        <v>0.35638181771801991</v>
      </c>
      <c r="BE6" s="197">
        <f t="shared" si="14"/>
        <v>0.53200000000000003</v>
      </c>
      <c r="BF6" s="200">
        <v>0</v>
      </c>
      <c r="BG6" s="200">
        <v>0</v>
      </c>
      <c r="BH6" s="200">
        <f t="shared" si="15"/>
        <v>0</v>
      </c>
      <c r="BI6" s="200">
        <f t="shared" si="16"/>
        <v>0</v>
      </c>
      <c r="BJ6" s="199">
        <f t="shared" si="17"/>
        <v>0</v>
      </c>
      <c r="BK6" s="197">
        <v>5</v>
      </c>
      <c r="BL6" s="197">
        <v>0</v>
      </c>
      <c r="BM6" s="197">
        <f t="shared" si="18"/>
        <v>3.5355339059327378</v>
      </c>
      <c r="BN6" s="197">
        <f t="shared" si="19"/>
        <v>2.5</v>
      </c>
      <c r="BO6" s="77">
        <f t="shared" si="20"/>
        <v>0.12475672438744448</v>
      </c>
      <c r="BP6" s="77">
        <f t="shared" si="21"/>
        <v>5.434775E-2</v>
      </c>
      <c r="BQ6" s="197">
        <v>1</v>
      </c>
      <c r="BR6" s="197">
        <v>0</v>
      </c>
      <c r="BS6" s="200">
        <f t="shared" si="22"/>
        <v>0.70710678118654757</v>
      </c>
      <c r="BT6" s="197">
        <f t="shared" si="23"/>
        <v>0.5</v>
      </c>
      <c r="BU6" s="199">
        <f t="shared" si="24"/>
        <v>4.1135335252982311E-2</v>
      </c>
      <c r="BV6" s="199">
        <f t="shared" si="25"/>
        <v>1.086955E-2</v>
      </c>
      <c r="BW6" s="196">
        <v>207.99999999999997</v>
      </c>
      <c r="BX6" s="196">
        <f t="shared" si="26"/>
        <v>3.4088972217487634</v>
      </c>
      <c r="BY6" s="196">
        <f t="shared" si="0"/>
        <v>4.5217327999999997</v>
      </c>
      <c r="BZ6" s="75">
        <v>0.1</v>
      </c>
      <c r="CA6" s="75">
        <v>0.28599999999999998</v>
      </c>
      <c r="CB6" s="77">
        <v>0.65500000000000003</v>
      </c>
      <c r="CC6" s="77">
        <v>0.54400000000000004</v>
      </c>
      <c r="CD6" s="77">
        <f t="shared" si="27"/>
        <v>0.59950000000000003</v>
      </c>
      <c r="CE6" s="77">
        <v>18.231000000000002</v>
      </c>
      <c r="CF6" s="77">
        <v>17.215</v>
      </c>
      <c r="CG6" s="77">
        <f t="shared" si="28"/>
        <v>17.722999999999999</v>
      </c>
      <c r="CH6" s="75">
        <f t="shared" si="29"/>
        <v>0.49994358251057819</v>
      </c>
      <c r="CI6" s="75">
        <f t="shared" si="30"/>
        <v>0.38528206929999997</v>
      </c>
      <c r="CJ6" s="77">
        <v>0</v>
      </c>
      <c r="CK6" s="77">
        <v>0</v>
      </c>
      <c r="CL6" s="77">
        <f t="shared" si="31"/>
        <v>0</v>
      </c>
      <c r="CM6" s="77">
        <v>1.29</v>
      </c>
      <c r="CN6" s="77">
        <v>0.89200000000000002</v>
      </c>
      <c r="CO6" s="77">
        <f t="shared" si="32"/>
        <v>1.091</v>
      </c>
      <c r="CP6" s="77">
        <v>0.21</v>
      </c>
      <c r="CQ6" s="77">
        <v>0.43</v>
      </c>
      <c r="CR6" s="77">
        <f t="shared" si="33"/>
        <v>0.32</v>
      </c>
      <c r="CS6" s="77">
        <v>1.21</v>
      </c>
      <c r="CT6" s="77">
        <v>0.76200000000000001</v>
      </c>
      <c r="CU6" s="77">
        <f t="shared" si="34"/>
        <v>0.98599999999999999</v>
      </c>
      <c r="CV6" s="201">
        <f t="shared" si="35"/>
        <v>2.0528836144076617E-2</v>
      </c>
      <c r="CW6" s="202">
        <f t="shared" si="36"/>
        <v>0.1658920596404268</v>
      </c>
      <c r="CX6" s="202">
        <f t="shared" si="37"/>
        <v>3.4294260578928402</v>
      </c>
      <c r="CY6" s="202">
        <f t="shared" si="38"/>
        <v>4.8664435695519218E-2</v>
      </c>
      <c r="CZ6" s="202">
        <f t="shared" si="39"/>
        <v>1.0551109177903437</v>
      </c>
      <c r="DA6" s="202">
        <f t="shared" si="40"/>
        <v>1.1798676421777883</v>
      </c>
      <c r="DB6" s="202">
        <f t="shared" si="41"/>
        <v>0.8942621020124174</v>
      </c>
      <c r="DC6" s="203"/>
    </row>
    <row r="7" spans="1:107" ht="15.6" x14ac:dyDescent="0.3">
      <c r="A7" s="183" t="s">
        <v>517</v>
      </c>
      <c r="B7" s="74">
        <v>26.094999999999999</v>
      </c>
      <c r="C7" s="74">
        <v>91.797499999999999</v>
      </c>
      <c r="D7" s="74"/>
      <c r="E7" s="74"/>
      <c r="F7" s="190">
        <v>8</v>
      </c>
      <c r="G7" s="74"/>
      <c r="H7" s="74"/>
      <c r="I7" s="74"/>
      <c r="J7" s="74"/>
      <c r="K7" s="74"/>
      <c r="L7" s="74"/>
      <c r="M7" s="190">
        <v>4</v>
      </c>
      <c r="N7" s="74"/>
      <c r="O7" s="74"/>
      <c r="P7" s="74"/>
      <c r="Q7" s="190">
        <v>6</v>
      </c>
      <c r="R7" s="74"/>
      <c r="S7" s="74"/>
      <c r="T7" s="74"/>
      <c r="U7" s="190">
        <v>5</v>
      </c>
      <c r="V7" s="74"/>
      <c r="W7" s="74"/>
      <c r="X7" s="74"/>
      <c r="Y7" s="74"/>
      <c r="Z7" s="206">
        <v>140</v>
      </c>
      <c r="AA7" s="74">
        <v>7.8</v>
      </c>
      <c r="AB7" s="191">
        <v>22.8</v>
      </c>
      <c r="AC7" s="74">
        <v>1.1000000000000001</v>
      </c>
      <c r="AD7" s="74">
        <v>341</v>
      </c>
      <c r="AE7" s="74">
        <v>102</v>
      </c>
      <c r="AF7" s="192">
        <f t="shared" si="1"/>
        <v>307</v>
      </c>
      <c r="AG7" s="193">
        <f t="shared" si="2"/>
        <v>0.307</v>
      </c>
      <c r="AH7" s="74">
        <v>201</v>
      </c>
      <c r="AI7" s="74">
        <v>341</v>
      </c>
      <c r="AJ7" s="194">
        <v>0</v>
      </c>
      <c r="AK7" s="195">
        <v>0</v>
      </c>
      <c r="AL7" s="196">
        <f t="shared" si="3"/>
        <v>0</v>
      </c>
      <c r="AM7" s="197">
        <f t="shared" si="4"/>
        <v>0</v>
      </c>
      <c r="AN7" s="197">
        <v>0</v>
      </c>
      <c r="AO7" s="197">
        <v>0</v>
      </c>
      <c r="AP7" s="197">
        <f t="shared" si="5"/>
        <v>0</v>
      </c>
      <c r="AQ7" s="197">
        <f t="shared" si="6"/>
        <v>0</v>
      </c>
      <c r="AR7" s="77">
        <f t="shared" si="7"/>
        <v>0</v>
      </c>
      <c r="AS7" s="198">
        <v>3.6999999999999998E-2</v>
      </c>
      <c r="AT7" s="198">
        <v>2.5999999999999999E-2</v>
      </c>
      <c r="AU7" s="198">
        <f t="shared" si="8"/>
        <v>7.7781745930520091E-3</v>
      </c>
      <c r="AV7" s="198">
        <f t="shared" si="9"/>
        <v>3.15E-2</v>
      </c>
      <c r="AW7" s="197">
        <v>21.65</v>
      </c>
      <c r="AX7" s="197">
        <v>20.422000000000001</v>
      </c>
      <c r="AY7" s="197">
        <f t="shared" si="10"/>
        <v>0.86832712729707895</v>
      </c>
      <c r="AZ7" s="197">
        <f t="shared" si="11"/>
        <v>21.036000000000001</v>
      </c>
      <c r="BA7" s="199">
        <f t="shared" si="12"/>
        <v>0.9150065245759027</v>
      </c>
      <c r="BB7" s="197">
        <v>0.02</v>
      </c>
      <c r="BC7" s="197">
        <v>1.4E-2</v>
      </c>
      <c r="BD7" s="197">
        <f t="shared" si="13"/>
        <v>4.2426406871192857E-3</v>
      </c>
      <c r="BE7" s="197">
        <f t="shared" si="14"/>
        <v>3.4000000000000002E-2</v>
      </c>
      <c r="BF7" s="200">
        <v>0</v>
      </c>
      <c r="BG7" s="200">
        <v>0</v>
      </c>
      <c r="BH7" s="200">
        <f t="shared" si="15"/>
        <v>0</v>
      </c>
      <c r="BI7" s="200">
        <f t="shared" si="16"/>
        <v>0</v>
      </c>
      <c r="BJ7" s="199">
        <f t="shared" si="17"/>
        <v>0</v>
      </c>
      <c r="BK7" s="197">
        <v>7</v>
      </c>
      <c r="BL7" s="197">
        <v>0</v>
      </c>
      <c r="BM7" s="197">
        <f t="shared" si="18"/>
        <v>4.9497474683058327</v>
      </c>
      <c r="BN7" s="197">
        <f t="shared" si="19"/>
        <v>3.5</v>
      </c>
      <c r="BO7" s="77">
        <f t="shared" si="20"/>
        <v>0.17465941414242225</v>
      </c>
      <c r="BP7" s="77">
        <f t="shared" si="21"/>
        <v>7.6086849999999998E-2</v>
      </c>
      <c r="BQ7" s="197">
        <v>1.2</v>
      </c>
      <c r="BR7" s="197">
        <v>1.0169999999999999</v>
      </c>
      <c r="BS7" s="197">
        <f t="shared" si="22"/>
        <v>0.12940054095713824</v>
      </c>
      <c r="BT7" s="197">
        <f t="shared" si="23"/>
        <v>1.1084999999999998</v>
      </c>
      <c r="BU7" s="199">
        <f t="shared" si="24"/>
        <v>9.119703825586177E-2</v>
      </c>
      <c r="BV7" s="199">
        <f t="shared" si="25"/>
        <v>2.4097792349999998E-2</v>
      </c>
      <c r="BW7" s="196">
        <v>204</v>
      </c>
      <c r="BX7" s="196">
        <f t="shared" si="26"/>
        <v>3.3433415059459031</v>
      </c>
      <c r="BY7" s="196">
        <f t="shared" si="0"/>
        <v>4.4347764000000005</v>
      </c>
      <c r="BZ7" s="75">
        <v>0.14000000000000001</v>
      </c>
      <c r="CA7" s="75">
        <v>0.27600000000000002</v>
      </c>
      <c r="CB7" s="77">
        <v>0.50900000000000001</v>
      </c>
      <c r="CC7" s="77">
        <v>0.247</v>
      </c>
      <c r="CD7" s="77">
        <f t="shared" si="27"/>
        <v>0.378</v>
      </c>
      <c r="CE7" s="77">
        <v>12.271000000000001</v>
      </c>
      <c r="CF7" s="77">
        <v>14.281000000000001</v>
      </c>
      <c r="CG7" s="77">
        <f t="shared" si="28"/>
        <v>13.276</v>
      </c>
      <c r="CH7" s="75">
        <f t="shared" si="29"/>
        <v>0.37449929478138222</v>
      </c>
      <c r="CI7" s="75">
        <f t="shared" si="30"/>
        <v>0.28860829160000001</v>
      </c>
      <c r="CJ7" s="77">
        <v>0</v>
      </c>
      <c r="CK7" s="77">
        <v>0</v>
      </c>
      <c r="CL7" s="77">
        <f t="shared" si="31"/>
        <v>0</v>
      </c>
      <c r="CM7" s="77">
        <v>1.3009999999999999</v>
      </c>
      <c r="CN7" s="77">
        <v>0.81399999999999995</v>
      </c>
      <c r="CO7" s="77">
        <f t="shared" si="32"/>
        <v>1.0574999999999999</v>
      </c>
      <c r="CP7" s="77">
        <v>3.028</v>
      </c>
      <c r="CQ7" s="77">
        <v>2.431</v>
      </c>
      <c r="CR7" s="77">
        <f t="shared" si="33"/>
        <v>2.7294999999999998</v>
      </c>
      <c r="CS7" s="77">
        <v>2.8170000000000002</v>
      </c>
      <c r="CT7" s="77">
        <v>3.0710000000000002</v>
      </c>
      <c r="CU7" s="77">
        <f t="shared" si="34"/>
        <v>2.944</v>
      </c>
      <c r="CV7" s="201">
        <f t="shared" si="35"/>
        <v>6.1295023943368727E-2</v>
      </c>
      <c r="CW7" s="202">
        <f t="shared" si="36"/>
        <v>0.26585645239828404</v>
      </c>
      <c r="CX7" s="202">
        <f t="shared" si="37"/>
        <v>3.404636529889272</v>
      </c>
      <c r="CY7" s="202">
        <f t="shared" si="38"/>
        <v>7.9518186199488333E-2</v>
      </c>
      <c r="CZ7" s="202">
        <f t="shared" si="39"/>
        <v>0.9150065245759027</v>
      </c>
      <c r="DA7" s="202">
        <f t="shared" si="40"/>
        <v>1.089665938718325</v>
      </c>
      <c r="DB7" s="202">
        <f t="shared" si="41"/>
        <v>0.83971288085974471</v>
      </c>
      <c r="DC7" s="203"/>
    </row>
    <row r="8" spans="1:107" ht="15.6" x14ac:dyDescent="0.3">
      <c r="A8" s="183" t="s">
        <v>518</v>
      </c>
      <c r="B8" s="74">
        <v>26.094999999999999</v>
      </c>
      <c r="C8" s="74">
        <v>91.797777777777782</v>
      </c>
      <c r="D8" s="74"/>
      <c r="E8" s="74"/>
      <c r="F8" s="190">
        <v>5</v>
      </c>
      <c r="G8" s="74"/>
      <c r="H8" s="74"/>
      <c r="I8" s="74"/>
      <c r="J8" s="74"/>
      <c r="K8" s="74"/>
      <c r="L8" s="74"/>
      <c r="M8" s="190">
        <v>3</v>
      </c>
      <c r="N8" s="74"/>
      <c r="O8" s="74"/>
      <c r="P8" s="74"/>
      <c r="Q8" s="190">
        <v>5</v>
      </c>
      <c r="R8" s="74"/>
      <c r="S8" s="74"/>
      <c r="T8" s="74"/>
      <c r="U8" s="190">
        <v>7</v>
      </c>
      <c r="V8" s="74"/>
      <c r="W8" s="74"/>
      <c r="X8" s="74"/>
      <c r="Y8" s="74" t="s">
        <v>488</v>
      </c>
      <c r="Z8" s="206">
        <v>180</v>
      </c>
      <c r="AA8" s="74">
        <v>7.3</v>
      </c>
      <c r="AB8" s="191">
        <v>22.89</v>
      </c>
      <c r="AC8" s="74">
        <v>1.3</v>
      </c>
      <c r="AD8" s="74">
        <v>382</v>
      </c>
      <c r="AE8" s="74">
        <v>118</v>
      </c>
      <c r="AF8" s="192">
        <f t="shared" si="1"/>
        <v>323</v>
      </c>
      <c r="AG8" s="193">
        <f t="shared" si="2"/>
        <v>0.32300000000000001</v>
      </c>
      <c r="AH8" s="74">
        <v>277</v>
      </c>
      <c r="AI8" s="74">
        <v>382</v>
      </c>
      <c r="AJ8" s="194">
        <v>0</v>
      </c>
      <c r="AK8" s="195">
        <v>0</v>
      </c>
      <c r="AL8" s="196">
        <f t="shared" si="3"/>
        <v>0</v>
      </c>
      <c r="AM8" s="197">
        <f t="shared" si="4"/>
        <v>0</v>
      </c>
      <c r="AN8" s="197">
        <v>0</v>
      </c>
      <c r="AO8" s="197">
        <v>0</v>
      </c>
      <c r="AP8" s="197">
        <f t="shared" si="5"/>
        <v>0</v>
      </c>
      <c r="AQ8" s="197">
        <f t="shared" si="6"/>
        <v>0</v>
      </c>
      <c r="AR8" s="77">
        <f t="shared" si="7"/>
        <v>0</v>
      </c>
      <c r="AS8" s="198">
        <v>8.0000000000000002E-3</v>
      </c>
      <c r="AT8" s="198">
        <v>1.4E-2</v>
      </c>
      <c r="AU8" s="198">
        <f t="shared" si="8"/>
        <v>4.2426406871192918E-3</v>
      </c>
      <c r="AV8" s="198">
        <f t="shared" si="9"/>
        <v>1.0999999999999999E-2</v>
      </c>
      <c r="AW8" s="197">
        <v>44.695</v>
      </c>
      <c r="AX8" s="197">
        <v>42.926000000000002</v>
      </c>
      <c r="AY8" s="197">
        <f t="shared" si="10"/>
        <v>1.2508718959190013</v>
      </c>
      <c r="AZ8" s="197">
        <f t="shared" si="11"/>
        <v>43.810500000000005</v>
      </c>
      <c r="BA8" s="199">
        <f t="shared" si="12"/>
        <v>1.9056328838625494</v>
      </c>
      <c r="BB8" s="197">
        <v>2.1000000000000001E-2</v>
      </c>
      <c r="BC8" s="197">
        <v>1.7999999999999999E-2</v>
      </c>
      <c r="BD8" s="197">
        <f t="shared" si="13"/>
        <v>2.1213203435596446E-3</v>
      </c>
      <c r="BE8" s="197">
        <f t="shared" si="14"/>
        <v>3.9E-2</v>
      </c>
      <c r="BF8" s="200">
        <v>0</v>
      </c>
      <c r="BG8" s="200">
        <v>0</v>
      </c>
      <c r="BH8" s="200">
        <f t="shared" si="15"/>
        <v>0</v>
      </c>
      <c r="BI8" s="200">
        <f t="shared" si="16"/>
        <v>0</v>
      </c>
      <c r="BJ8" s="199">
        <f t="shared" si="17"/>
        <v>0</v>
      </c>
      <c r="BK8" s="197">
        <v>10</v>
      </c>
      <c r="BL8" s="197">
        <v>0</v>
      </c>
      <c r="BM8" s="197">
        <f t="shared" si="18"/>
        <v>7.0710678118654755</v>
      </c>
      <c r="BN8" s="197">
        <f t="shared" si="19"/>
        <v>5</v>
      </c>
      <c r="BO8" s="77">
        <f t="shared" si="20"/>
        <v>0.24951344877488896</v>
      </c>
      <c r="BP8" s="77">
        <f t="shared" si="21"/>
        <v>0.1086955</v>
      </c>
      <c r="BQ8" s="197">
        <v>1.7090000000000001</v>
      </c>
      <c r="BR8" s="197">
        <v>0</v>
      </c>
      <c r="BS8" s="197">
        <f t="shared" si="22"/>
        <v>1.2084454890478098</v>
      </c>
      <c r="BT8" s="197">
        <f t="shared" si="23"/>
        <v>0.85450000000000004</v>
      </c>
      <c r="BU8" s="199">
        <f t="shared" si="24"/>
        <v>7.0300287947346773E-2</v>
      </c>
      <c r="BV8" s="199">
        <f t="shared" si="25"/>
        <v>1.8576060950000001E-2</v>
      </c>
      <c r="BW8" s="196">
        <v>150.00000000000011</v>
      </c>
      <c r="BX8" s="196">
        <f t="shared" si="26"/>
        <v>2.4583393426072835</v>
      </c>
      <c r="BY8" s="196">
        <f t="shared" si="0"/>
        <v>3.2608650000000026</v>
      </c>
      <c r="BZ8" s="75">
        <v>0.13</v>
      </c>
      <c r="CA8" s="75">
        <v>0.253</v>
      </c>
      <c r="CB8" s="77">
        <v>0.32500000000000001</v>
      </c>
      <c r="CC8" s="77">
        <v>0.27100000000000002</v>
      </c>
      <c r="CD8" s="77">
        <f t="shared" si="27"/>
        <v>0.29800000000000004</v>
      </c>
      <c r="CE8" s="77">
        <v>21.834</v>
      </c>
      <c r="CF8" s="77">
        <v>20.701000000000001</v>
      </c>
      <c r="CG8" s="77">
        <f t="shared" si="28"/>
        <v>21.267499999999998</v>
      </c>
      <c r="CH8" s="75">
        <f t="shared" si="29"/>
        <v>0.59992947813822273</v>
      </c>
      <c r="CI8" s="75">
        <f t="shared" si="30"/>
        <v>0.46233630924999997</v>
      </c>
      <c r="CJ8" s="77">
        <v>0.01</v>
      </c>
      <c r="CK8" s="77">
        <v>2.9000000000000001E-2</v>
      </c>
      <c r="CL8" s="77">
        <f t="shared" si="31"/>
        <v>1.95E-2</v>
      </c>
      <c r="CM8" s="77">
        <v>1.772</v>
      </c>
      <c r="CN8" s="77">
        <v>1.9810000000000001</v>
      </c>
      <c r="CO8" s="77">
        <f t="shared" si="32"/>
        <v>1.8765000000000001</v>
      </c>
      <c r="CP8" s="77">
        <v>1.88</v>
      </c>
      <c r="CQ8" s="77">
        <v>3.012</v>
      </c>
      <c r="CR8" s="77">
        <f t="shared" si="33"/>
        <v>2.4459999999999997</v>
      </c>
      <c r="CS8" s="77">
        <v>13.885999999999999</v>
      </c>
      <c r="CT8" s="77">
        <v>12.927</v>
      </c>
      <c r="CU8" s="77">
        <f t="shared" si="34"/>
        <v>13.406499999999999</v>
      </c>
      <c r="CV8" s="201">
        <f t="shared" si="35"/>
        <v>0.2791276285654799</v>
      </c>
      <c r="CW8" s="202">
        <f t="shared" si="36"/>
        <v>0.31981373672223573</v>
      </c>
      <c r="CX8" s="202">
        <f t="shared" si="37"/>
        <v>2.7374669711727635</v>
      </c>
      <c r="CY8" s="202">
        <f t="shared" si="38"/>
        <v>0.13009340540555533</v>
      </c>
      <c r="CZ8" s="202">
        <f t="shared" si="39"/>
        <v>1.9056328838625494</v>
      </c>
      <c r="DA8" s="202">
        <f t="shared" si="40"/>
        <v>2.1551463326374383</v>
      </c>
      <c r="DB8" s="202">
        <f t="shared" si="41"/>
        <v>0.88422435869144078</v>
      </c>
      <c r="DC8" s="203"/>
    </row>
    <row r="9" spans="1:107" ht="18" x14ac:dyDescent="0.3">
      <c r="A9" s="183" t="s">
        <v>519</v>
      </c>
      <c r="B9" s="74">
        <v>26.094166666666666</v>
      </c>
      <c r="C9" s="74">
        <v>91.795555555555552</v>
      </c>
      <c r="D9" s="74"/>
      <c r="E9" s="74"/>
      <c r="F9" s="190">
        <v>146</v>
      </c>
      <c r="G9" s="74"/>
      <c r="H9" s="74"/>
      <c r="I9" s="74"/>
      <c r="J9" s="74"/>
      <c r="K9" s="74"/>
      <c r="L9" s="74"/>
      <c r="M9" s="190">
        <v>133</v>
      </c>
      <c r="N9" s="74"/>
      <c r="O9" s="74"/>
      <c r="P9" s="74"/>
      <c r="Q9" s="190">
        <v>190</v>
      </c>
      <c r="R9" s="74"/>
      <c r="S9" s="74"/>
      <c r="T9" s="74"/>
      <c r="U9" s="207">
        <v>200</v>
      </c>
      <c r="V9" s="74"/>
      <c r="W9" s="74"/>
      <c r="X9" s="74"/>
      <c r="Y9" s="74"/>
      <c r="Z9" s="206">
        <v>100</v>
      </c>
      <c r="AA9" s="74">
        <v>8.3000000000000007</v>
      </c>
      <c r="AB9" s="191">
        <v>22.06</v>
      </c>
      <c r="AC9" s="74">
        <v>0.4</v>
      </c>
      <c r="AD9" s="74">
        <v>286</v>
      </c>
      <c r="AE9" s="74">
        <v>-321</v>
      </c>
      <c r="AF9" s="192">
        <f t="shared" si="1"/>
        <v>-116</v>
      </c>
      <c r="AG9" s="193">
        <f t="shared" si="2"/>
        <v>-0.11600000000000001</v>
      </c>
      <c r="AH9" s="74">
        <v>193</v>
      </c>
      <c r="AI9" s="74">
        <v>286</v>
      </c>
      <c r="AJ9" s="194">
        <v>0</v>
      </c>
      <c r="AK9" s="195">
        <v>0</v>
      </c>
      <c r="AL9" s="196">
        <f t="shared" si="3"/>
        <v>0</v>
      </c>
      <c r="AM9" s="197">
        <f t="shared" si="4"/>
        <v>0</v>
      </c>
      <c r="AN9" s="197">
        <v>15.305</v>
      </c>
      <c r="AO9" s="197">
        <v>0</v>
      </c>
      <c r="AP9" s="197">
        <f t="shared" si="5"/>
        <v>10.822269286060109</v>
      </c>
      <c r="AQ9" s="197">
        <f t="shared" si="6"/>
        <v>15.305</v>
      </c>
      <c r="AR9" s="77">
        <f t="shared" si="7"/>
        <v>7.6524999999999999</v>
      </c>
      <c r="AS9" s="198">
        <v>0.02</v>
      </c>
      <c r="AT9" s="198">
        <v>2.5999999999999999E-2</v>
      </c>
      <c r="AU9" s="198">
        <f t="shared" si="8"/>
        <v>4.242640687119284E-3</v>
      </c>
      <c r="AV9" s="198">
        <f t="shared" si="9"/>
        <v>2.3E-2</v>
      </c>
      <c r="AW9" s="197">
        <v>16.724</v>
      </c>
      <c r="AX9" s="197">
        <v>15.837999999999999</v>
      </c>
      <c r="AY9" s="197">
        <f t="shared" si="10"/>
        <v>0.62649660813128183</v>
      </c>
      <c r="AZ9" s="197">
        <f t="shared" si="11"/>
        <v>16.280999999999999</v>
      </c>
      <c r="BA9" s="199">
        <f t="shared" si="12"/>
        <v>0.70817746846454976</v>
      </c>
      <c r="BB9" s="197">
        <v>1.6E-2</v>
      </c>
      <c r="BC9" s="197">
        <v>1.2E-2</v>
      </c>
      <c r="BD9" s="197">
        <f t="shared" si="13"/>
        <v>2.8284271247461901E-3</v>
      </c>
      <c r="BE9" s="197">
        <f t="shared" si="14"/>
        <v>2.8000000000000001E-2</v>
      </c>
      <c r="BF9" s="200">
        <v>0</v>
      </c>
      <c r="BG9" s="200">
        <v>0</v>
      </c>
      <c r="BH9" s="200">
        <f t="shared" si="15"/>
        <v>0</v>
      </c>
      <c r="BI9" s="200">
        <f t="shared" si="16"/>
        <v>0</v>
      </c>
      <c r="BJ9" s="199">
        <f t="shared" si="17"/>
        <v>0</v>
      </c>
      <c r="BK9" s="197">
        <v>5</v>
      </c>
      <c r="BL9" s="197">
        <v>0</v>
      </c>
      <c r="BM9" s="197">
        <f t="shared" si="18"/>
        <v>3.5355339059327378</v>
      </c>
      <c r="BN9" s="197">
        <f t="shared" si="19"/>
        <v>2.5</v>
      </c>
      <c r="BO9" s="77">
        <f t="shared" si="20"/>
        <v>0.12475672438744448</v>
      </c>
      <c r="BP9" s="77">
        <f t="shared" si="21"/>
        <v>5.434775E-2</v>
      </c>
      <c r="BQ9" s="197">
        <v>1.1000000000000001</v>
      </c>
      <c r="BR9" s="197">
        <v>0</v>
      </c>
      <c r="BS9" s="197">
        <f t="shared" si="22"/>
        <v>0.7778174593052023</v>
      </c>
      <c r="BT9" s="197">
        <f t="shared" si="23"/>
        <v>0.55000000000000004</v>
      </c>
      <c r="BU9" s="199">
        <f t="shared" si="24"/>
        <v>4.5248868778280549E-2</v>
      </c>
      <c r="BV9" s="199">
        <f t="shared" si="25"/>
        <v>1.1956505000000001E-2</v>
      </c>
      <c r="BW9" s="196">
        <v>211.11111111111111</v>
      </c>
      <c r="BX9" s="196">
        <f t="shared" si="26"/>
        <v>3.4598850007065449</v>
      </c>
      <c r="BY9" s="196">
        <f t="shared" si="0"/>
        <v>4.5893655555555561</v>
      </c>
      <c r="BZ9" s="75">
        <v>0.3</v>
      </c>
      <c r="CA9" s="75">
        <v>0.27900000000000003</v>
      </c>
      <c r="CB9" s="77">
        <v>0.16300000000000001</v>
      </c>
      <c r="CC9" s="77">
        <v>0.114</v>
      </c>
      <c r="CD9" s="77">
        <f t="shared" si="27"/>
        <v>0.13850000000000001</v>
      </c>
      <c r="CE9" s="77">
        <v>21.39</v>
      </c>
      <c r="CF9" s="77">
        <v>20.41</v>
      </c>
      <c r="CG9" s="77">
        <f t="shared" si="28"/>
        <v>20.9</v>
      </c>
      <c r="CH9" s="75">
        <f t="shared" si="29"/>
        <v>0.58956276445698153</v>
      </c>
      <c r="CI9" s="75">
        <f t="shared" si="30"/>
        <v>0.45434719000000001</v>
      </c>
      <c r="CJ9" s="77">
        <v>0</v>
      </c>
      <c r="CK9" s="77">
        <v>0</v>
      </c>
      <c r="CL9" s="77">
        <f t="shared" si="31"/>
        <v>0</v>
      </c>
      <c r="CM9" s="77">
        <v>1.33</v>
      </c>
      <c r="CN9" s="77">
        <v>1.92</v>
      </c>
      <c r="CO9" s="77">
        <f t="shared" si="32"/>
        <v>1.625</v>
      </c>
      <c r="CP9" s="77">
        <v>2.31</v>
      </c>
      <c r="CQ9" s="77">
        <v>2.87</v>
      </c>
      <c r="CR9" s="77">
        <f t="shared" si="33"/>
        <v>2.59</v>
      </c>
      <c r="CS9" s="77">
        <v>2.0169999999999999</v>
      </c>
      <c r="CT9" s="77">
        <v>2.19</v>
      </c>
      <c r="CU9" s="77">
        <f t="shared" si="34"/>
        <v>2.1034999999999999</v>
      </c>
      <c r="CV9" s="201">
        <f t="shared" si="35"/>
        <v>4.3795544451384547E-2</v>
      </c>
      <c r="CW9" s="202">
        <f t="shared" si="36"/>
        <v>0.17000559316572503</v>
      </c>
      <c r="CX9" s="202">
        <f t="shared" si="37"/>
        <v>3.5036805451579296</v>
      </c>
      <c r="CY9" s="202">
        <f t="shared" si="38"/>
        <v>4.9136197628247211E-2</v>
      </c>
      <c r="CZ9" s="202">
        <f t="shared" si="39"/>
        <v>0.70817746846454976</v>
      </c>
      <c r="DA9" s="202">
        <f t="shared" si="40"/>
        <v>0.83293419285199422</v>
      </c>
      <c r="DB9" s="202">
        <f t="shared" si="41"/>
        <v>0.85022019091295398</v>
      </c>
      <c r="DC9" s="203"/>
    </row>
    <row r="10" spans="1:107" ht="15.6" x14ac:dyDescent="0.3">
      <c r="A10" s="183" t="s">
        <v>520</v>
      </c>
      <c r="B10" s="74">
        <v>26.087777777777777</v>
      </c>
      <c r="C10" s="74">
        <v>91.789444444444442</v>
      </c>
      <c r="D10" s="74"/>
      <c r="E10" s="74"/>
      <c r="F10" s="190">
        <v>17</v>
      </c>
      <c r="G10" s="74"/>
      <c r="H10" s="74"/>
      <c r="I10" s="74"/>
      <c r="J10" s="74"/>
      <c r="K10" s="74"/>
      <c r="L10" s="74"/>
      <c r="M10" s="190">
        <v>22</v>
      </c>
      <c r="N10" s="74"/>
      <c r="O10" s="74"/>
      <c r="P10" s="74"/>
      <c r="Q10" s="190">
        <v>9</v>
      </c>
      <c r="R10" s="74"/>
      <c r="S10" s="74"/>
      <c r="T10" s="74"/>
      <c r="U10" s="190">
        <v>8</v>
      </c>
      <c r="V10" s="74"/>
      <c r="W10" s="74"/>
      <c r="X10" s="74"/>
      <c r="Y10" s="74"/>
      <c r="Z10" s="206">
        <v>120</v>
      </c>
      <c r="AA10" s="74">
        <v>6.5</v>
      </c>
      <c r="AB10" s="191">
        <v>23.06</v>
      </c>
      <c r="AC10" s="74">
        <v>1.1000000000000001</v>
      </c>
      <c r="AD10" s="74">
        <v>432</v>
      </c>
      <c r="AE10" s="74">
        <v>129</v>
      </c>
      <c r="AF10" s="192">
        <f t="shared" si="1"/>
        <v>334</v>
      </c>
      <c r="AG10" s="193">
        <f t="shared" si="2"/>
        <v>0.33400000000000002</v>
      </c>
      <c r="AH10" s="74">
        <v>231</v>
      </c>
      <c r="AI10" s="74">
        <v>432</v>
      </c>
      <c r="AJ10" s="194">
        <v>0</v>
      </c>
      <c r="AK10" s="195">
        <v>0</v>
      </c>
      <c r="AL10" s="196">
        <f t="shared" si="3"/>
        <v>0</v>
      </c>
      <c r="AM10" s="197">
        <f t="shared" si="4"/>
        <v>0</v>
      </c>
      <c r="AN10" s="197">
        <v>0</v>
      </c>
      <c r="AO10" s="197">
        <v>0</v>
      </c>
      <c r="AP10" s="197">
        <f t="shared" si="5"/>
        <v>0</v>
      </c>
      <c r="AQ10" s="197">
        <f t="shared" si="6"/>
        <v>0</v>
      </c>
      <c r="AR10" s="77">
        <f t="shared" si="7"/>
        <v>0</v>
      </c>
      <c r="AS10" s="198">
        <v>2.5000000000000001E-2</v>
      </c>
      <c r="AT10" s="198">
        <v>6.3E-2</v>
      </c>
      <c r="AU10" s="198">
        <f t="shared" si="8"/>
        <v>2.6870057685088829E-2</v>
      </c>
      <c r="AV10" s="198">
        <f t="shared" si="9"/>
        <v>4.3999999999999997E-2</v>
      </c>
      <c r="AW10" s="197">
        <v>21.95</v>
      </c>
      <c r="AX10" s="197">
        <v>19.956</v>
      </c>
      <c r="AY10" s="197">
        <f t="shared" si="10"/>
        <v>1.4099709216859757</v>
      </c>
      <c r="AZ10" s="197">
        <f t="shared" si="11"/>
        <v>20.952999999999999</v>
      </c>
      <c r="BA10" s="199">
        <f t="shared" si="12"/>
        <v>0.91139625924314926</v>
      </c>
      <c r="BB10" s="197">
        <v>1.2E-2</v>
      </c>
      <c r="BC10" s="197">
        <v>0.14599999999999999</v>
      </c>
      <c r="BD10" s="197">
        <f t="shared" si="13"/>
        <v>9.4752308678997352E-2</v>
      </c>
      <c r="BE10" s="197">
        <f t="shared" si="14"/>
        <v>0.158</v>
      </c>
      <c r="BF10" s="197">
        <v>0</v>
      </c>
      <c r="BG10" s="197">
        <v>4.0039999999999996</v>
      </c>
      <c r="BH10" s="197">
        <f t="shared" si="15"/>
        <v>2.8312555518709357</v>
      </c>
      <c r="BI10" s="200">
        <f t="shared" si="16"/>
        <v>2.0019999999999998</v>
      </c>
      <c r="BJ10" s="199">
        <f t="shared" si="17"/>
        <v>5.1320174314278384E-2</v>
      </c>
      <c r="BK10" s="197">
        <v>6</v>
      </c>
      <c r="BL10" s="197">
        <v>0</v>
      </c>
      <c r="BM10" s="197">
        <f t="shared" si="18"/>
        <v>4.2426406871192848</v>
      </c>
      <c r="BN10" s="197">
        <f t="shared" si="19"/>
        <v>3</v>
      </c>
      <c r="BO10" s="77">
        <f t="shared" si="20"/>
        <v>0.14970806926493338</v>
      </c>
      <c r="BP10" s="77">
        <f t="shared" si="21"/>
        <v>6.5217300000000006E-2</v>
      </c>
      <c r="BQ10" s="197">
        <v>1.4</v>
      </c>
      <c r="BR10" s="197">
        <v>0</v>
      </c>
      <c r="BS10" s="197">
        <f t="shared" si="22"/>
        <v>0.98994949366116647</v>
      </c>
      <c r="BT10" s="197">
        <f t="shared" si="23"/>
        <v>0.7</v>
      </c>
      <c r="BU10" s="199">
        <f t="shared" si="24"/>
        <v>5.7589469354175235E-2</v>
      </c>
      <c r="BV10" s="199">
        <f t="shared" si="25"/>
        <v>1.5217369999999999E-2</v>
      </c>
      <c r="BW10" s="196">
        <v>106.00000000000001</v>
      </c>
      <c r="BX10" s="196">
        <f t="shared" si="26"/>
        <v>1.7372264687758128</v>
      </c>
      <c r="BY10" s="196">
        <f t="shared" si="0"/>
        <v>2.3043446000000003</v>
      </c>
      <c r="BZ10" s="75">
        <v>0.21</v>
      </c>
      <c r="CA10" s="75">
        <v>0.27600000000000002</v>
      </c>
      <c r="CB10" s="77">
        <v>0.59399999999999997</v>
      </c>
      <c r="CC10" s="77">
        <v>0.61</v>
      </c>
      <c r="CD10" s="77">
        <f t="shared" si="27"/>
        <v>0.60199999999999998</v>
      </c>
      <c r="CE10" s="77">
        <v>30.904</v>
      </c>
      <c r="CF10" s="77">
        <v>31.280999999999999</v>
      </c>
      <c r="CG10" s="77">
        <f t="shared" si="28"/>
        <v>31.092500000000001</v>
      </c>
      <c r="CH10" s="75">
        <f t="shared" si="29"/>
        <v>0.87708039492242595</v>
      </c>
      <c r="CI10" s="75">
        <f t="shared" si="30"/>
        <v>0.67592296675000008</v>
      </c>
      <c r="CJ10" s="77">
        <v>5.6000000000000001E-2</v>
      </c>
      <c r="CK10" s="77">
        <v>6.7000000000000004E-2</v>
      </c>
      <c r="CL10" s="77">
        <f t="shared" si="31"/>
        <v>6.1499999999999999E-2</v>
      </c>
      <c r="CM10" s="77">
        <v>6.5000000000000002E-2</v>
      </c>
      <c r="CN10" s="77">
        <v>5.2999999999999999E-2</v>
      </c>
      <c r="CO10" s="77">
        <f t="shared" si="32"/>
        <v>5.8999999999999997E-2</v>
      </c>
      <c r="CP10" s="77">
        <v>3.6850000000000001</v>
      </c>
      <c r="CQ10" s="77">
        <v>3.012</v>
      </c>
      <c r="CR10" s="77">
        <f t="shared" si="33"/>
        <v>3.3485</v>
      </c>
      <c r="CS10" s="77">
        <v>0</v>
      </c>
      <c r="CT10" s="77">
        <v>0</v>
      </c>
      <c r="CU10" s="77">
        <f t="shared" si="34"/>
        <v>0</v>
      </c>
      <c r="CV10" s="201">
        <f t="shared" si="35"/>
        <v>0</v>
      </c>
      <c r="CW10" s="202">
        <f t="shared" si="36"/>
        <v>0.2072975386191086</v>
      </c>
      <c r="CX10" s="202">
        <f t="shared" si="37"/>
        <v>1.7372264687758128</v>
      </c>
      <c r="CY10" s="202">
        <f t="shared" si="38"/>
        <v>0.11932672126806061</v>
      </c>
      <c r="CZ10" s="202">
        <f t="shared" si="39"/>
        <v>0.96271643355742764</v>
      </c>
      <c r="DA10" s="202">
        <f t="shared" si="40"/>
        <v>1.1124245028223609</v>
      </c>
      <c r="DB10" s="202">
        <f t="shared" si="41"/>
        <v>0.86542181614563052</v>
      </c>
      <c r="DC10" s="203"/>
    </row>
    <row r="11" spans="1:107" ht="15.6" x14ac:dyDescent="0.3">
      <c r="A11" s="183" t="s">
        <v>521</v>
      </c>
      <c r="B11" s="74">
        <v>26.090833333333332</v>
      </c>
      <c r="C11" s="74">
        <v>91.787222222222226</v>
      </c>
      <c r="D11" s="74"/>
      <c r="E11" s="74"/>
      <c r="F11" s="190">
        <v>22</v>
      </c>
      <c r="G11" s="74"/>
      <c r="H11" s="74"/>
      <c r="I11" s="74"/>
      <c r="J11" s="74"/>
      <c r="K11" s="74"/>
      <c r="L11" s="74"/>
      <c r="M11" s="190">
        <v>26</v>
      </c>
      <c r="N11" s="74"/>
      <c r="O11" s="74"/>
      <c r="P11" s="74"/>
      <c r="Q11" s="190">
        <v>11</v>
      </c>
      <c r="R11" s="74"/>
      <c r="S11" s="74"/>
      <c r="T11" s="74"/>
      <c r="U11" s="190">
        <v>10</v>
      </c>
      <c r="V11" s="74"/>
      <c r="W11" s="74"/>
      <c r="X11" s="74"/>
      <c r="Y11" s="74"/>
      <c r="Z11" s="206">
        <v>80</v>
      </c>
      <c r="AA11" s="74">
        <v>9.1999999999999993</v>
      </c>
      <c r="AB11" s="191">
        <v>23.3</v>
      </c>
      <c r="AC11" s="74">
        <v>1.6</v>
      </c>
      <c r="AD11" s="74">
        <v>474</v>
      </c>
      <c r="AE11" s="74">
        <v>147</v>
      </c>
      <c r="AF11" s="192">
        <f t="shared" si="1"/>
        <v>352</v>
      </c>
      <c r="AG11" s="193">
        <f t="shared" si="2"/>
        <v>0.35199999999999998</v>
      </c>
      <c r="AH11" s="74">
        <v>522</v>
      </c>
      <c r="AI11" s="74">
        <v>474</v>
      </c>
      <c r="AJ11" s="194">
        <v>0</v>
      </c>
      <c r="AK11" s="195">
        <v>0</v>
      </c>
      <c r="AL11" s="196">
        <f t="shared" si="3"/>
        <v>0</v>
      </c>
      <c r="AM11" s="197">
        <f t="shared" si="4"/>
        <v>0</v>
      </c>
      <c r="AN11" s="197">
        <v>0</v>
      </c>
      <c r="AO11" s="197">
        <v>0</v>
      </c>
      <c r="AP11" s="197">
        <f t="shared" si="5"/>
        <v>0</v>
      </c>
      <c r="AQ11" s="197">
        <f t="shared" si="6"/>
        <v>0</v>
      </c>
      <c r="AR11" s="77">
        <f t="shared" si="7"/>
        <v>0</v>
      </c>
      <c r="AS11" s="198">
        <v>0.02</v>
      </c>
      <c r="AT11" s="198">
        <v>2.1000000000000001E-2</v>
      </c>
      <c r="AU11" s="198">
        <f t="shared" si="8"/>
        <v>7.0710678118654816E-4</v>
      </c>
      <c r="AV11" s="198">
        <f t="shared" si="9"/>
        <v>2.0500000000000001E-2</v>
      </c>
      <c r="AW11" s="197">
        <v>58.003999999999998</v>
      </c>
      <c r="AX11" s="197">
        <v>59.515000000000001</v>
      </c>
      <c r="AY11" s="197">
        <f t="shared" si="10"/>
        <v>1.0684383463728753</v>
      </c>
      <c r="AZ11" s="197">
        <f t="shared" si="11"/>
        <v>58.759500000000003</v>
      </c>
      <c r="BA11" s="199">
        <f t="shared" si="12"/>
        <v>2.5558721183123101</v>
      </c>
      <c r="BB11" s="197">
        <v>3.4000000000000002E-2</v>
      </c>
      <c r="BC11" s="197">
        <v>0.03</v>
      </c>
      <c r="BD11" s="197">
        <f t="shared" si="13"/>
        <v>2.8284271247461927E-3</v>
      </c>
      <c r="BE11" s="197">
        <f t="shared" si="14"/>
        <v>6.4000000000000001E-2</v>
      </c>
      <c r="BF11" s="197">
        <v>0</v>
      </c>
      <c r="BG11" s="197">
        <v>0</v>
      </c>
      <c r="BH11" s="197">
        <f t="shared" si="15"/>
        <v>0</v>
      </c>
      <c r="BI11" s="200">
        <f t="shared" si="16"/>
        <v>0</v>
      </c>
      <c r="BJ11" s="199">
        <f t="shared" si="17"/>
        <v>0</v>
      </c>
      <c r="BK11" s="197">
        <v>9</v>
      </c>
      <c r="BL11" s="197">
        <v>0</v>
      </c>
      <c r="BM11" s="197">
        <f t="shared" si="18"/>
        <v>6.3639610306789276</v>
      </c>
      <c r="BN11" s="197">
        <f t="shared" si="19"/>
        <v>4.5</v>
      </c>
      <c r="BO11" s="77">
        <f t="shared" si="20"/>
        <v>0.22456210389740006</v>
      </c>
      <c r="BP11" s="77">
        <f t="shared" si="21"/>
        <v>9.7825950000000009E-2</v>
      </c>
      <c r="BQ11" s="197">
        <v>11881.412</v>
      </c>
      <c r="BR11" s="197">
        <v>12194.383</v>
      </c>
      <c r="BS11" s="197">
        <f t="shared" si="22"/>
        <v>221.30391641473463</v>
      </c>
      <c r="BT11" s="197">
        <f t="shared" si="23"/>
        <v>12037.897499999999</v>
      </c>
      <c r="BU11" s="199">
        <f t="shared" si="24"/>
        <v>990.36589880707527</v>
      </c>
      <c r="BV11" s="199">
        <f t="shared" si="25"/>
        <v>261.69305754225002</v>
      </c>
      <c r="BW11" s="196">
        <v>127</v>
      </c>
      <c r="BX11" s="196">
        <f t="shared" si="26"/>
        <v>2.081393976740832</v>
      </c>
      <c r="BY11" s="196">
        <f t="shared" si="0"/>
        <v>2.7608657000000001</v>
      </c>
      <c r="BZ11" s="75">
        <v>0.17</v>
      </c>
      <c r="CA11" s="75">
        <v>0.19600000000000001</v>
      </c>
      <c r="CB11" s="77">
        <v>0.222</v>
      </c>
      <c r="CC11" s="77">
        <v>0.21299999999999999</v>
      </c>
      <c r="CD11" s="77">
        <f t="shared" si="27"/>
        <v>0.2175</v>
      </c>
      <c r="CE11" s="77">
        <v>28.71</v>
      </c>
      <c r="CF11" s="77">
        <v>26.013999999999999</v>
      </c>
      <c r="CG11" s="77">
        <f t="shared" si="28"/>
        <v>27.362000000000002</v>
      </c>
      <c r="CH11" s="75">
        <f t="shared" si="29"/>
        <v>0.77184767277856137</v>
      </c>
      <c r="CI11" s="75">
        <f t="shared" si="30"/>
        <v>0.5948252542000001</v>
      </c>
      <c r="CJ11" s="77">
        <v>0</v>
      </c>
      <c r="CK11" s="77">
        <v>0</v>
      </c>
      <c r="CL11" s="77">
        <f t="shared" si="31"/>
        <v>0</v>
      </c>
      <c r="CM11" s="77">
        <v>5.5330000000000004</v>
      </c>
      <c r="CN11" s="77">
        <v>5.8310000000000004</v>
      </c>
      <c r="CO11" s="77">
        <f t="shared" si="32"/>
        <v>5.6820000000000004</v>
      </c>
      <c r="CP11" s="77">
        <v>2.1920000000000002</v>
      </c>
      <c r="CQ11" s="77">
        <v>2.0139999999999998</v>
      </c>
      <c r="CR11" s="77">
        <f t="shared" si="33"/>
        <v>2.1029999999999998</v>
      </c>
      <c r="CS11" s="77">
        <v>14.792</v>
      </c>
      <c r="CT11" s="77">
        <v>14.032</v>
      </c>
      <c r="CU11" s="77">
        <f t="shared" si="34"/>
        <v>14.411999999999999</v>
      </c>
      <c r="CV11" s="201">
        <f t="shared" si="35"/>
        <v>0.30006246096189881</v>
      </c>
      <c r="CW11" s="202">
        <v>1.4</v>
      </c>
      <c r="CX11" s="202">
        <f t="shared" si="37"/>
        <v>2.381456437702731</v>
      </c>
      <c r="CY11" s="202">
        <f t="shared" si="38"/>
        <v>0.67262614173228341</v>
      </c>
      <c r="CZ11" s="202">
        <f t="shared" si="39"/>
        <v>2.5558721183123101</v>
      </c>
      <c r="DA11" s="202">
        <f t="shared" si="40"/>
        <v>2.7804342222097103</v>
      </c>
      <c r="DB11" s="202">
        <f t="shared" si="41"/>
        <v>0.91923487989622976</v>
      </c>
      <c r="DC11" s="203"/>
    </row>
    <row r="12" spans="1:107" ht="18" x14ac:dyDescent="0.3">
      <c r="A12" s="183" t="s">
        <v>522</v>
      </c>
      <c r="B12" s="74">
        <v>26.091944444444444</v>
      </c>
      <c r="C12" s="74">
        <v>91.795555555555552</v>
      </c>
      <c r="D12" s="74"/>
      <c r="E12" s="74"/>
      <c r="F12" s="190">
        <v>270</v>
      </c>
      <c r="G12" s="74"/>
      <c r="H12" s="74"/>
      <c r="I12" s="74"/>
      <c r="J12" s="74"/>
      <c r="K12" s="74"/>
      <c r="L12" s="74"/>
      <c r="M12" s="190">
        <v>265</v>
      </c>
      <c r="N12" s="74"/>
      <c r="O12" s="74"/>
      <c r="P12" s="74"/>
      <c r="Q12" s="207">
        <v>105</v>
      </c>
      <c r="R12" s="74"/>
      <c r="S12" s="74"/>
      <c r="T12" s="74"/>
      <c r="U12" s="207">
        <v>110</v>
      </c>
      <c r="V12" s="74"/>
      <c r="W12" s="74"/>
      <c r="X12" s="74"/>
      <c r="Y12" s="74"/>
      <c r="Z12" s="206">
        <v>100</v>
      </c>
      <c r="AA12" s="74">
        <v>8.6999999999999993</v>
      </c>
      <c r="AB12" s="191">
        <v>22.29</v>
      </c>
      <c r="AC12" s="74">
        <v>0.4</v>
      </c>
      <c r="AD12" s="74">
        <v>182</v>
      </c>
      <c r="AE12" s="74">
        <v>-349</v>
      </c>
      <c r="AF12" s="192">
        <f t="shared" si="1"/>
        <v>-144</v>
      </c>
      <c r="AG12" s="193">
        <f t="shared" si="2"/>
        <v>-0.14399999999999999</v>
      </c>
      <c r="AH12" s="74">
        <v>121</v>
      </c>
      <c r="AI12" s="74">
        <v>182</v>
      </c>
      <c r="AJ12" s="194">
        <v>0</v>
      </c>
      <c r="AK12" s="195">
        <v>0</v>
      </c>
      <c r="AL12" s="196">
        <f t="shared" si="3"/>
        <v>0</v>
      </c>
      <c r="AM12" s="197">
        <f t="shared" si="4"/>
        <v>0</v>
      </c>
      <c r="AN12" s="197">
        <v>25.734999999999999</v>
      </c>
      <c r="AO12" s="197">
        <v>0</v>
      </c>
      <c r="AP12" s="197">
        <f t="shared" si="5"/>
        <v>18.1973930138358</v>
      </c>
      <c r="AQ12" s="197">
        <f t="shared" si="6"/>
        <v>25.734999999999999</v>
      </c>
      <c r="AR12" s="208">
        <f t="shared" si="7"/>
        <v>12.8675</v>
      </c>
      <c r="AS12" s="198">
        <v>1.7000000000000001E-2</v>
      </c>
      <c r="AT12" s="209">
        <v>0</v>
      </c>
      <c r="AU12" s="198">
        <f t="shared" si="8"/>
        <v>1.2020815280171309E-2</v>
      </c>
      <c r="AV12" s="198">
        <f t="shared" si="9"/>
        <v>8.5000000000000006E-3</v>
      </c>
      <c r="AW12" s="197">
        <v>28.542000000000002</v>
      </c>
      <c r="AX12" s="197">
        <v>29.469000000000001</v>
      </c>
      <c r="AY12" s="197">
        <f t="shared" si="10"/>
        <v>0.65548798615992931</v>
      </c>
      <c r="AZ12" s="197">
        <f t="shared" si="11"/>
        <v>29.005500000000001</v>
      </c>
      <c r="BA12" s="199">
        <f t="shared" si="12"/>
        <v>1.261657242279252</v>
      </c>
      <c r="BB12" s="197">
        <v>2.4E-2</v>
      </c>
      <c r="BC12" s="197">
        <v>0</v>
      </c>
      <c r="BD12" s="197">
        <f t="shared" si="13"/>
        <v>1.6970562748477139E-2</v>
      </c>
      <c r="BE12" s="197">
        <f t="shared" si="14"/>
        <v>2.4E-2</v>
      </c>
      <c r="BF12" s="197">
        <v>3.4780000000000002</v>
      </c>
      <c r="BG12" s="197">
        <v>2.3E-2</v>
      </c>
      <c r="BH12" s="197">
        <f t="shared" si="15"/>
        <v>2.4430539289995221</v>
      </c>
      <c r="BI12" s="200">
        <f t="shared" si="16"/>
        <v>1.7505000000000002</v>
      </c>
      <c r="BJ12" s="199">
        <f t="shared" si="17"/>
        <v>4.4873109459113054E-2</v>
      </c>
      <c r="BK12" s="197">
        <v>12</v>
      </c>
      <c r="BL12" s="197">
        <v>0</v>
      </c>
      <c r="BM12" s="197">
        <f t="shared" si="18"/>
        <v>8.4852813742385695</v>
      </c>
      <c r="BN12" s="197">
        <f t="shared" si="19"/>
        <v>6</v>
      </c>
      <c r="BO12" s="77">
        <f t="shared" si="20"/>
        <v>0.29941613852986676</v>
      </c>
      <c r="BP12" s="77">
        <f t="shared" si="21"/>
        <v>0.13043460000000001</v>
      </c>
      <c r="BQ12" s="197">
        <v>1.4350000000000001</v>
      </c>
      <c r="BR12" s="197">
        <v>0</v>
      </c>
      <c r="BS12" s="197">
        <f t="shared" si="22"/>
        <v>1.0146982310026957</v>
      </c>
      <c r="BT12" s="197">
        <f t="shared" si="23"/>
        <v>0.71750000000000003</v>
      </c>
      <c r="BU12" s="199">
        <f t="shared" si="24"/>
        <v>5.9029206088029626E-2</v>
      </c>
      <c r="BV12" s="199">
        <f t="shared" si="25"/>
        <v>1.5597804250000001E-2</v>
      </c>
      <c r="BW12" s="196">
        <v>320.57416267942597</v>
      </c>
      <c r="BX12" s="196">
        <f t="shared" si="26"/>
        <v>5.2538671755881321</v>
      </c>
      <c r="BY12" s="196">
        <f t="shared" si="0"/>
        <v>6.9689937799043093</v>
      </c>
      <c r="BZ12" s="75">
        <v>0.1</v>
      </c>
      <c r="CA12" s="75">
        <v>0.14199999999999999</v>
      </c>
      <c r="CB12" s="77">
        <v>0.26700000000000002</v>
      </c>
      <c r="CC12" s="77">
        <v>0.28299999999999997</v>
      </c>
      <c r="CD12" s="77">
        <f t="shared" si="27"/>
        <v>0.27500000000000002</v>
      </c>
      <c r="CE12" s="77">
        <v>1.28</v>
      </c>
      <c r="CF12" s="77">
        <v>1.34</v>
      </c>
      <c r="CG12" s="77">
        <f t="shared" si="28"/>
        <v>1.31</v>
      </c>
      <c r="CH12" s="75">
        <f t="shared" si="29"/>
        <v>3.6953455571227076E-2</v>
      </c>
      <c r="CI12" s="75">
        <f t="shared" si="30"/>
        <v>2.8478221000000001E-2</v>
      </c>
      <c r="CJ12" s="77">
        <v>0</v>
      </c>
      <c r="CK12" s="77">
        <v>0</v>
      </c>
      <c r="CL12" s="77">
        <f t="shared" si="31"/>
        <v>0</v>
      </c>
      <c r="CM12" s="77">
        <v>2.9980000000000002</v>
      </c>
      <c r="CN12" s="77">
        <v>1.7430000000000001</v>
      </c>
      <c r="CO12" s="77">
        <f t="shared" si="32"/>
        <v>2.3705000000000003</v>
      </c>
      <c r="CP12" s="77">
        <v>2.871</v>
      </c>
      <c r="CQ12" s="77">
        <v>2.5659999999999998</v>
      </c>
      <c r="CR12" s="77">
        <f t="shared" si="33"/>
        <v>2.7184999999999997</v>
      </c>
      <c r="CS12" s="77">
        <v>0.88100000000000001</v>
      </c>
      <c r="CT12" s="77">
        <v>0.90200000000000002</v>
      </c>
      <c r="CU12" s="77">
        <f t="shared" si="34"/>
        <v>0.89149999999999996</v>
      </c>
      <c r="CV12" s="201">
        <f t="shared" si="35"/>
        <v>1.8561315844264001E-2</v>
      </c>
      <c r="CW12" s="202">
        <f t="shared" si="36"/>
        <v>0.3584453446178964</v>
      </c>
      <c r="CX12" s="202">
        <f t="shared" si="37"/>
        <v>5.2724284914323958</v>
      </c>
      <c r="CY12" s="202">
        <f t="shared" si="38"/>
        <v>6.8225048833247495E-2</v>
      </c>
      <c r="CZ12" s="202">
        <f t="shared" si="39"/>
        <v>1.3065303517383651</v>
      </c>
      <c r="DA12" s="202">
        <f t="shared" si="40"/>
        <v>1.6059464902682319</v>
      </c>
      <c r="DB12" s="202">
        <f t="shared" si="41"/>
        <v>0.81355783623907851</v>
      </c>
      <c r="DC12" s="203"/>
    </row>
    <row r="13" spans="1:107" ht="18" x14ac:dyDescent="0.3">
      <c r="A13" s="183" t="s">
        <v>523</v>
      </c>
      <c r="B13" s="74">
        <v>26.108055555555556</v>
      </c>
      <c r="C13" s="74">
        <v>91.80972222222222</v>
      </c>
      <c r="D13" s="74"/>
      <c r="E13" s="74"/>
      <c r="F13" s="190">
        <v>180</v>
      </c>
      <c r="G13" s="74"/>
      <c r="H13" s="74"/>
      <c r="I13" s="74"/>
      <c r="J13" s="74"/>
      <c r="K13" s="74"/>
      <c r="L13" s="74"/>
      <c r="M13" s="190">
        <v>190</v>
      </c>
      <c r="N13" s="74"/>
      <c r="O13" s="74"/>
      <c r="P13" s="74"/>
      <c r="Q13" s="207">
        <v>70</v>
      </c>
      <c r="R13" s="74"/>
      <c r="S13" s="74"/>
      <c r="T13" s="74"/>
      <c r="U13" s="207">
        <v>50</v>
      </c>
      <c r="V13" s="74"/>
      <c r="W13" s="74"/>
      <c r="X13" s="74"/>
      <c r="Y13" s="74"/>
      <c r="Z13" s="206">
        <v>120</v>
      </c>
      <c r="AA13" s="74">
        <v>8.9</v>
      </c>
      <c r="AB13" s="191">
        <v>21.99</v>
      </c>
      <c r="AC13" s="74">
        <v>0.4</v>
      </c>
      <c r="AD13" s="74">
        <v>361</v>
      </c>
      <c r="AE13" s="74">
        <v>-421</v>
      </c>
      <c r="AF13" s="192">
        <f t="shared" si="1"/>
        <v>-216</v>
      </c>
      <c r="AG13" s="193">
        <f t="shared" si="2"/>
        <v>-0.216</v>
      </c>
      <c r="AH13" s="74">
        <v>231</v>
      </c>
      <c r="AI13" s="74">
        <v>361</v>
      </c>
      <c r="AJ13" s="194">
        <v>0</v>
      </c>
      <c r="AK13" s="195">
        <v>0</v>
      </c>
      <c r="AL13" s="196">
        <f t="shared" si="3"/>
        <v>0</v>
      </c>
      <c r="AM13" s="197">
        <f t="shared" si="4"/>
        <v>0</v>
      </c>
      <c r="AN13" s="197">
        <v>30.564</v>
      </c>
      <c r="AO13" s="197">
        <v>23.213000000000001</v>
      </c>
      <c r="AP13" s="197">
        <f t="shared" si="5"/>
        <v>5.1979419485023151</v>
      </c>
      <c r="AQ13" s="197">
        <f t="shared" si="6"/>
        <v>53.777000000000001</v>
      </c>
      <c r="AR13" s="208">
        <f t="shared" si="7"/>
        <v>26.888500000000001</v>
      </c>
      <c r="AS13" s="198">
        <v>0.02</v>
      </c>
      <c r="AT13" s="198">
        <v>0.02</v>
      </c>
      <c r="AU13" s="198">
        <f t="shared" si="8"/>
        <v>0</v>
      </c>
      <c r="AV13" s="198">
        <f t="shared" si="9"/>
        <v>0.02</v>
      </c>
      <c r="AW13" s="197">
        <v>34.674999999999997</v>
      </c>
      <c r="AX13" s="197">
        <v>35.936999999999998</v>
      </c>
      <c r="AY13" s="197">
        <f t="shared" si="10"/>
        <v>0.89236875785742331</v>
      </c>
      <c r="AZ13" s="197">
        <f t="shared" si="11"/>
        <v>35.305999999999997</v>
      </c>
      <c r="BA13" s="199">
        <f t="shared" si="12"/>
        <v>1.5357111787733797</v>
      </c>
      <c r="BB13" s="197">
        <v>2.7E-2</v>
      </c>
      <c r="BC13" s="197">
        <v>5.0999999999999997E-2</v>
      </c>
      <c r="BD13" s="197">
        <f t="shared" si="13"/>
        <v>1.6970562748477129E-2</v>
      </c>
      <c r="BE13" s="197">
        <f t="shared" si="14"/>
        <v>7.8E-2</v>
      </c>
      <c r="BF13" s="197">
        <v>3.3839999999999999</v>
      </c>
      <c r="BG13" s="197">
        <v>3.4790000000000001</v>
      </c>
      <c r="BH13" s="197">
        <f t="shared" si="15"/>
        <v>6.7175144212722152E-2</v>
      </c>
      <c r="BI13" s="200">
        <f t="shared" si="16"/>
        <v>3.4314999999999998</v>
      </c>
      <c r="BJ13" s="199">
        <f t="shared" si="17"/>
        <v>8.7964624455267884E-2</v>
      </c>
      <c r="BK13" s="197">
        <v>38.039000000000001</v>
      </c>
      <c r="BL13" s="197">
        <v>38.078000000000003</v>
      </c>
      <c r="BM13" s="197">
        <f t="shared" si="18"/>
        <v>2.7577164466276401E-2</v>
      </c>
      <c r="BN13" s="197">
        <f t="shared" si="19"/>
        <v>38.058500000000002</v>
      </c>
      <c r="BO13" s="77">
        <f t="shared" si="20"/>
        <v>1.8992215180398224</v>
      </c>
      <c r="BP13" s="77">
        <f t="shared" si="21"/>
        <v>0.82735753735000006</v>
      </c>
      <c r="BQ13" s="197">
        <v>1.5</v>
      </c>
      <c r="BR13" s="197">
        <v>0</v>
      </c>
      <c r="BS13" s="197">
        <f t="shared" si="22"/>
        <v>1.0606601717798212</v>
      </c>
      <c r="BT13" s="197">
        <f t="shared" si="23"/>
        <v>0.75</v>
      </c>
      <c r="BU13" s="199">
        <f t="shared" si="24"/>
        <v>6.1703002879473473E-2</v>
      </c>
      <c r="BV13" s="199">
        <f t="shared" si="25"/>
        <v>1.6304325000000001E-2</v>
      </c>
      <c r="BW13" s="196">
        <v>227.99999999999997</v>
      </c>
      <c r="BX13" s="196">
        <f t="shared" si="26"/>
        <v>3.7366758007630678</v>
      </c>
      <c r="BY13" s="196">
        <f t="shared" si="0"/>
        <v>4.9565147999999999</v>
      </c>
      <c r="BZ13" s="75">
        <v>0</v>
      </c>
      <c r="CA13" s="75">
        <v>7.4999999999999997E-2</v>
      </c>
      <c r="CB13" s="77">
        <v>0.379</v>
      </c>
      <c r="CC13" s="77">
        <v>0.39600000000000002</v>
      </c>
      <c r="CD13" s="77">
        <f t="shared" si="27"/>
        <v>0.38750000000000001</v>
      </c>
      <c r="CE13" s="77">
        <v>12.029</v>
      </c>
      <c r="CF13" s="77">
        <v>12.31</v>
      </c>
      <c r="CG13" s="77">
        <f t="shared" si="28"/>
        <v>12.169499999999999</v>
      </c>
      <c r="CH13" s="75">
        <f t="shared" si="29"/>
        <v>0.34328631875881521</v>
      </c>
      <c r="CI13" s="75">
        <f t="shared" si="30"/>
        <v>0.26455397744999998</v>
      </c>
      <c r="CJ13" s="77">
        <v>0</v>
      </c>
      <c r="CK13" s="77">
        <v>0</v>
      </c>
      <c r="CL13" s="77">
        <f t="shared" si="31"/>
        <v>0</v>
      </c>
      <c r="CM13" s="77">
        <v>0.376</v>
      </c>
      <c r="CN13" s="77">
        <v>0.218</v>
      </c>
      <c r="CO13" s="77">
        <f t="shared" si="32"/>
        <v>0.29699999999999999</v>
      </c>
      <c r="CP13" s="77">
        <v>6.3410000000000002</v>
      </c>
      <c r="CQ13" s="77">
        <v>5.992</v>
      </c>
      <c r="CR13" s="77">
        <f t="shared" si="33"/>
        <v>6.1665000000000001</v>
      </c>
      <c r="CS13" s="77">
        <v>0.60899999999999999</v>
      </c>
      <c r="CT13" s="77">
        <v>0.54300000000000004</v>
      </c>
      <c r="CU13" s="77">
        <f t="shared" si="34"/>
        <v>0.57600000000000007</v>
      </c>
      <c r="CV13" s="201">
        <f t="shared" si="35"/>
        <v>1.1992504684572143E-2</v>
      </c>
      <c r="CW13" s="202">
        <f t="shared" si="36"/>
        <v>1.9609245209192958</v>
      </c>
      <c r="CX13" s="202">
        <f t="shared" si="37"/>
        <v>3.74866830544764</v>
      </c>
      <c r="CY13" s="202">
        <f t="shared" si="38"/>
        <v>0.52477780398258123</v>
      </c>
      <c r="CZ13" s="202">
        <f t="shared" si="39"/>
        <v>1.6236758032286476</v>
      </c>
      <c r="DA13" s="202">
        <f t="shared" si="40"/>
        <v>3.52289732126847</v>
      </c>
      <c r="DB13" s="202">
        <f t="shared" si="41"/>
        <v>0.46089217344660494</v>
      </c>
      <c r="DC13" s="203"/>
    </row>
    <row r="14" spans="1:107" ht="15.6" x14ac:dyDescent="0.3">
      <c r="A14" s="183" t="s">
        <v>524</v>
      </c>
      <c r="B14" s="74">
        <v>26.108611111111113</v>
      </c>
      <c r="C14" s="74">
        <v>91.80972222222222</v>
      </c>
      <c r="D14" s="74"/>
      <c r="E14" s="74"/>
      <c r="F14" s="190">
        <v>30</v>
      </c>
      <c r="G14" s="74"/>
      <c r="H14" s="74"/>
      <c r="I14" s="74"/>
      <c r="J14" s="74"/>
      <c r="K14" s="74"/>
      <c r="L14" s="74"/>
      <c r="M14" s="190">
        <v>40</v>
      </c>
      <c r="N14" s="74"/>
      <c r="O14" s="74"/>
      <c r="P14" s="74"/>
      <c r="Q14" s="190">
        <v>15</v>
      </c>
      <c r="R14" s="74"/>
      <c r="S14" s="74"/>
      <c r="T14" s="74"/>
      <c r="U14" s="190">
        <v>18</v>
      </c>
      <c r="V14" s="74"/>
      <c r="W14" s="74"/>
      <c r="X14" s="74"/>
      <c r="Y14" s="74"/>
      <c r="Z14" s="206">
        <v>80</v>
      </c>
      <c r="AA14" s="74">
        <v>7.2</v>
      </c>
      <c r="AB14" s="191">
        <v>23.75</v>
      </c>
      <c r="AC14" s="74">
        <v>1.1000000000000001</v>
      </c>
      <c r="AD14" s="74">
        <v>14</v>
      </c>
      <c r="AE14" s="74">
        <v>189</v>
      </c>
      <c r="AF14" s="192">
        <f t="shared" si="1"/>
        <v>394</v>
      </c>
      <c r="AG14" s="193">
        <f t="shared" si="2"/>
        <v>0.39400000000000002</v>
      </c>
      <c r="AH14" s="74">
        <v>31</v>
      </c>
      <c r="AI14" s="74">
        <v>14</v>
      </c>
      <c r="AJ14" s="194">
        <v>0</v>
      </c>
      <c r="AK14" s="195">
        <v>0</v>
      </c>
      <c r="AL14" s="196">
        <f t="shared" si="3"/>
        <v>0</v>
      </c>
      <c r="AM14" s="197">
        <f t="shared" si="4"/>
        <v>0</v>
      </c>
      <c r="AN14" s="197">
        <v>0</v>
      </c>
      <c r="AO14" s="197">
        <v>0</v>
      </c>
      <c r="AP14" s="197">
        <f t="shared" si="5"/>
        <v>0</v>
      </c>
      <c r="AQ14" s="197">
        <f t="shared" si="6"/>
        <v>0</v>
      </c>
      <c r="AR14" s="77">
        <f t="shared" si="7"/>
        <v>0</v>
      </c>
      <c r="AS14" s="209">
        <v>0</v>
      </c>
      <c r="AT14" s="209">
        <v>0</v>
      </c>
      <c r="AU14" s="198">
        <f t="shared" si="8"/>
        <v>0</v>
      </c>
      <c r="AV14" s="198">
        <f t="shared" si="9"/>
        <v>0</v>
      </c>
      <c r="AW14" s="197">
        <v>0</v>
      </c>
      <c r="AX14" s="197">
        <v>0</v>
      </c>
      <c r="AY14" s="197">
        <f t="shared" si="10"/>
        <v>0</v>
      </c>
      <c r="AZ14" s="197">
        <f t="shared" si="11"/>
        <v>0</v>
      </c>
      <c r="BA14" s="199">
        <f t="shared" si="12"/>
        <v>0</v>
      </c>
      <c r="BB14" s="197">
        <v>0</v>
      </c>
      <c r="BC14" s="197">
        <v>0</v>
      </c>
      <c r="BD14" s="197">
        <f t="shared" si="13"/>
        <v>0</v>
      </c>
      <c r="BE14" s="197">
        <f t="shared" si="14"/>
        <v>0</v>
      </c>
      <c r="BF14" s="197">
        <v>0</v>
      </c>
      <c r="BG14" s="197">
        <v>0</v>
      </c>
      <c r="BH14" s="197">
        <f t="shared" si="15"/>
        <v>0</v>
      </c>
      <c r="BI14" s="200">
        <f t="shared" si="16"/>
        <v>0</v>
      </c>
      <c r="BJ14" s="199">
        <f t="shared" si="17"/>
        <v>0</v>
      </c>
      <c r="BK14" s="197">
        <v>12</v>
      </c>
      <c r="BL14" s="197">
        <v>0</v>
      </c>
      <c r="BM14" s="197">
        <f t="shared" si="18"/>
        <v>8.4852813742385695</v>
      </c>
      <c r="BN14" s="197">
        <f t="shared" si="19"/>
        <v>6</v>
      </c>
      <c r="BO14" s="77">
        <f t="shared" si="20"/>
        <v>0.29941613852986676</v>
      </c>
      <c r="BP14" s="77">
        <f t="shared" si="21"/>
        <v>0.13043460000000001</v>
      </c>
      <c r="BQ14" s="197">
        <v>1.1000000000000001</v>
      </c>
      <c r="BR14" s="197">
        <v>0</v>
      </c>
      <c r="BS14" s="197">
        <f t="shared" si="22"/>
        <v>0.7778174593052023</v>
      </c>
      <c r="BT14" s="197">
        <f t="shared" si="23"/>
        <v>0.55000000000000004</v>
      </c>
      <c r="BU14" s="199">
        <f t="shared" si="24"/>
        <v>4.5248868778280549E-2</v>
      </c>
      <c r="BV14" s="199">
        <f t="shared" si="25"/>
        <v>1.1956505000000001E-2</v>
      </c>
      <c r="BW14" s="196">
        <v>264.58333333333331</v>
      </c>
      <c r="BX14" s="196">
        <f t="shared" si="26"/>
        <v>4.3362374515433997</v>
      </c>
      <c r="BY14" s="196">
        <f t="shared" si="0"/>
        <v>5.7518035416666669</v>
      </c>
      <c r="BZ14" s="75">
        <v>0.19</v>
      </c>
      <c r="CA14" s="75">
        <v>0.248</v>
      </c>
      <c r="CB14" s="77">
        <v>0.18</v>
      </c>
      <c r="CC14" s="77">
        <v>0.161</v>
      </c>
      <c r="CD14" s="77">
        <f t="shared" si="27"/>
        <v>0.17049999999999998</v>
      </c>
      <c r="CE14" s="77">
        <v>11.321</v>
      </c>
      <c r="CF14" s="77">
        <v>10.718</v>
      </c>
      <c r="CG14" s="77">
        <f t="shared" si="28"/>
        <v>11.019500000000001</v>
      </c>
      <c r="CH14" s="75">
        <f t="shared" si="29"/>
        <v>0.31084626234132579</v>
      </c>
      <c r="CI14" s="75">
        <f t="shared" si="30"/>
        <v>0.23955401245000002</v>
      </c>
      <c r="CJ14" s="77">
        <v>0</v>
      </c>
      <c r="CK14" s="77">
        <v>0</v>
      </c>
      <c r="CL14" s="77">
        <f t="shared" si="31"/>
        <v>0</v>
      </c>
      <c r="CM14" s="77">
        <v>4.5999999999999999E-2</v>
      </c>
      <c r="CN14" s="77">
        <v>4.2999999999999997E-2</v>
      </c>
      <c r="CO14" s="77">
        <f t="shared" si="32"/>
        <v>4.4499999999999998E-2</v>
      </c>
      <c r="CP14" s="77">
        <v>0.24099999999999999</v>
      </c>
      <c r="CQ14" s="77">
        <v>0.219</v>
      </c>
      <c r="CR14" s="77">
        <f t="shared" si="33"/>
        <v>0.22999999999999998</v>
      </c>
      <c r="CS14" s="77">
        <v>0</v>
      </c>
      <c r="CT14" s="77">
        <v>0</v>
      </c>
      <c r="CU14" s="77">
        <f t="shared" si="34"/>
        <v>0</v>
      </c>
      <c r="CV14" s="201">
        <f t="shared" si="35"/>
        <v>0</v>
      </c>
      <c r="CW14" s="202">
        <f>BO14+BU14</f>
        <v>0.34466500730814731</v>
      </c>
      <c r="CX14" s="202">
        <f t="shared" si="37"/>
        <v>4.3362374515433997</v>
      </c>
      <c r="CY14" s="202">
        <f t="shared" si="38"/>
        <v>7.9484809390562891E-2</v>
      </c>
      <c r="CZ14" s="202">
        <f t="shared" si="39"/>
        <v>0</v>
      </c>
      <c r="DA14" s="202">
        <f t="shared" si="40"/>
        <v>0.29941613852986676</v>
      </c>
      <c r="DB14" s="202">
        <f t="shared" si="41"/>
        <v>0</v>
      </c>
      <c r="DC14" s="203"/>
    </row>
    <row r="15" spans="1:107" ht="18" x14ac:dyDescent="0.3">
      <c r="A15" s="183" t="s">
        <v>525</v>
      </c>
      <c r="B15" s="74">
        <v>26.109722222222224</v>
      </c>
      <c r="C15" s="74">
        <v>91.80361111111111</v>
      </c>
      <c r="D15" s="74"/>
      <c r="E15" s="74"/>
      <c r="F15" s="207">
        <v>100</v>
      </c>
      <c r="G15" s="74"/>
      <c r="H15" s="74"/>
      <c r="I15" s="74"/>
      <c r="J15" s="74"/>
      <c r="K15" s="74"/>
      <c r="L15" s="74"/>
      <c r="M15" s="207">
        <v>80</v>
      </c>
      <c r="N15" s="74"/>
      <c r="O15" s="74"/>
      <c r="P15" s="74"/>
      <c r="Q15" s="207">
        <v>50</v>
      </c>
      <c r="R15" s="74"/>
      <c r="S15" s="74"/>
      <c r="T15" s="74"/>
      <c r="U15" s="207">
        <v>40</v>
      </c>
      <c r="V15" s="74"/>
      <c r="W15" s="74"/>
      <c r="X15" s="74"/>
      <c r="Y15" s="74"/>
      <c r="Z15" s="206">
        <v>100</v>
      </c>
      <c r="AA15" s="74">
        <v>8.6</v>
      </c>
      <c r="AB15" s="191">
        <v>21.11</v>
      </c>
      <c r="AC15" s="74">
        <v>0.3</v>
      </c>
      <c r="AD15" s="74">
        <v>29</v>
      </c>
      <c r="AE15" s="74">
        <v>-498</v>
      </c>
      <c r="AF15" s="192">
        <f t="shared" si="1"/>
        <v>-293</v>
      </c>
      <c r="AG15" s="193">
        <f t="shared" si="2"/>
        <v>-0.29299999999999998</v>
      </c>
      <c r="AH15" s="74">
        <v>11</v>
      </c>
      <c r="AI15" s="74">
        <v>29</v>
      </c>
      <c r="AJ15" s="198">
        <v>6.165</v>
      </c>
      <c r="AK15" s="195">
        <v>0</v>
      </c>
      <c r="AL15" s="197">
        <f t="shared" si="3"/>
        <v>4.3593133060150651</v>
      </c>
      <c r="AM15" s="197">
        <f t="shared" si="4"/>
        <v>3.0825</v>
      </c>
      <c r="AN15" s="197">
        <v>211.803</v>
      </c>
      <c r="AO15" s="197">
        <v>0</v>
      </c>
      <c r="AP15" s="197">
        <f t="shared" si="5"/>
        <v>149.76733757565432</v>
      </c>
      <c r="AQ15" s="197">
        <f>AN15+AO15</f>
        <v>211.803</v>
      </c>
      <c r="AR15" s="208">
        <f t="shared" si="7"/>
        <v>107.44275</v>
      </c>
      <c r="AS15" s="209">
        <v>0</v>
      </c>
      <c r="AT15" s="209">
        <v>0</v>
      </c>
      <c r="AU15" s="198">
        <f t="shared" si="8"/>
        <v>0</v>
      </c>
      <c r="AV15" s="198">
        <f t="shared" si="9"/>
        <v>0</v>
      </c>
      <c r="AW15" s="197">
        <v>0</v>
      </c>
      <c r="AX15" s="197">
        <v>0</v>
      </c>
      <c r="AY15" s="197">
        <f t="shared" si="10"/>
        <v>0</v>
      </c>
      <c r="AZ15" s="197">
        <f t="shared" si="11"/>
        <v>0</v>
      </c>
      <c r="BA15" s="199">
        <f t="shared" si="12"/>
        <v>0</v>
      </c>
      <c r="BB15" s="197">
        <v>0</v>
      </c>
      <c r="BC15" s="197">
        <v>0</v>
      </c>
      <c r="BD15" s="197">
        <f t="shared" si="13"/>
        <v>0</v>
      </c>
      <c r="BE15" s="197">
        <f t="shared" si="14"/>
        <v>0</v>
      </c>
      <c r="BF15" s="197">
        <v>0</v>
      </c>
      <c r="BG15" s="197">
        <v>0</v>
      </c>
      <c r="BH15" s="197">
        <f t="shared" si="15"/>
        <v>0</v>
      </c>
      <c r="BI15" s="200">
        <f t="shared" si="16"/>
        <v>0</v>
      </c>
      <c r="BJ15" s="199">
        <f t="shared" si="17"/>
        <v>0</v>
      </c>
      <c r="BK15" s="197">
        <v>15</v>
      </c>
      <c r="BL15" s="197">
        <v>0</v>
      </c>
      <c r="BM15" s="197">
        <f t="shared" si="18"/>
        <v>10.606601717798213</v>
      </c>
      <c r="BN15" s="197">
        <f t="shared" si="19"/>
        <v>7.5</v>
      </c>
      <c r="BO15" s="77">
        <f t="shared" si="20"/>
        <v>0.37427017316233341</v>
      </c>
      <c r="BP15" s="77">
        <f t="shared" si="21"/>
        <v>0.16304325</v>
      </c>
      <c r="BQ15" s="197">
        <v>1.6</v>
      </c>
      <c r="BR15" s="197">
        <v>0</v>
      </c>
      <c r="BS15" s="197">
        <f t="shared" si="22"/>
        <v>1.1313708498984762</v>
      </c>
      <c r="BT15" s="197">
        <f t="shared" si="23"/>
        <v>0.8</v>
      </c>
      <c r="BU15" s="199">
        <f t="shared" si="24"/>
        <v>6.5816536404771711E-2</v>
      </c>
      <c r="BV15" s="199">
        <f t="shared" si="25"/>
        <v>1.7391280000000002E-2</v>
      </c>
      <c r="BW15" s="196">
        <v>148.93617021276597</v>
      </c>
      <c r="BX15" s="196">
        <f t="shared" si="26"/>
        <v>2.4409043118086489</v>
      </c>
      <c r="BY15" s="196">
        <f t="shared" si="0"/>
        <v>3.2377382978723408</v>
      </c>
      <c r="BZ15" s="75">
        <v>0.11</v>
      </c>
      <c r="CA15" s="75">
        <v>0.28499999999999998</v>
      </c>
      <c r="CB15" s="77">
        <v>0.127</v>
      </c>
      <c r="CC15" s="77">
        <v>0.182</v>
      </c>
      <c r="CD15" s="77">
        <f t="shared" si="27"/>
        <v>0.1545</v>
      </c>
      <c r="CE15" s="77">
        <v>19.233000000000001</v>
      </c>
      <c r="CF15" s="77">
        <v>20.21</v>
      </c>
      <c r="CG15" s="77">
        <f t="shared" si="28"/>
        <v>19.721499999999999</v>
      </c>
      <c r="CH15" s="75">
        <f t="shared" si="29"/>
        <v>0.55631875881523263</v>
      </c>
      <c r="CI15" s="75">
        <f t="shared" si="30"/>
        <v>0.42872766065000001</v>
      </c>
      <c r="CJ15" s="77">
        <v>2.1299999999999999E-2</v>
      </c>
      <c r="CK15" s="77">
        <v>1.0999999999999999E-2</v>
      </c>
      <c r="CL15" s="77">
        <f t="shared" si="31"/>
        <v>1.6149999999999998E-2</v>
      </c>
      <c r="CM15" s="77">
        <v>2.1179999999999999</v>
      </c>
      <c r="CN15" s="77">
        <v>2.952</v>
      </c>
      <c r="CO15" s="77">
        <f t="shared" si="32"/>
        <v>2.5350000000000001</v>
      </c>
      <c r="CP15" s="77">
        <v>0.38900000000000001</v>
      </c>
      <c r="CQ15" s="77">
        <v>0.42299999999999999</v>
      </c>
      <c r="CR15" s="77">
        <f t="shared" si="33"/>
        <v>0.40600000000000003</v>
      </c>
      <c r="CS15" s="77">
        <v>6.7000000000000004E-2</v>
      </c>
      <c r="CT15" s="77">
        <v>6.4000000000000001E-2</v>
      </c>
      <c r="CU15" s="77">
        <f t="shared" si="34"/>
        <v>6.5500000000000003E-2</v>
      </c>
      <c r="CV15" s="201">
        <f t="shared" si="35"/>
        <v>1.3637310014574225E-3</v>
      </c>
      <c r="CW15" s="202">
        <f t="shared" si="36"/>
        <v>0.44008670956710511</v>
      </c>
      <c r="CX15" s="202">
        <f t="shared" si="37"/>
        <v>2.4422680428101065</v>
      </c>
      <c r="CY15" s="202">
        <f t="shared" si="38"/>
        <v>0.18029658411353777</v>
      </c>
      <c r="CZ15" s="202">
        <f t="shared" si="39"/>
        <v>0</v>
      </c>
      <c r="DA15" s="202">
        <f t="shared" si="40"/>
        <v>0.37427017316233341</v>
      </c>
      <c r="DB15" s="202">
        <f t="shared" si="41"/>
        <v>0</v>
      </c>
      <c r="DC15" s="203"/>
    </row>
    <row r="16" spans="1:107" ht="15.6" x14ac:dyDescent="0.3">
      <c r="A16" s="183" t="s">
        <v>526</v>
      </c>
      <c r="B16" s="74">
        <v>26.115833333333335</v>
      </c>
      <c r="C16" s="74">
        <v>91.793888888888887</v>
      </c>
      <c r="D16" s="74"/>
      <c r="E16" s="74"/>
      <c r="F16" s="190">
        <v>80</v>
      </c>
      <c r="G16" s="74"/>
      <c r="H16" s="74"/>
      <c r="I16" s="74"/>
      <c r="J16" s="74"/>
      <c r="K16" s="74"/>
      <c r="L16" s="74"/>
      <c r="M16" s="190">
        <v>70</v>
      </c>
      <c r="N16" s="74"/>
      <c r="O16" s="74"/>
      <c r="P16" s="74"/>
      <c r="Q16" s="190">
        <v>20</v>
      </c>
      <c r="R16" s="74"/>
      <c r="S16" s="74"/>
      <c r="T16" s="74"/>
      <c r="U16" s="190">
        <v>30</v>
      </c>
      <c r="V16" s="74"/>
      <c r="W16" s="74"/>
      <c r="X16" s="74"/>
      <c r="Y16" s="74"/>
      <c r="Z16" s="206">
        <v>75</v>
      </c>
      <c r="AA16" s="74">
        <v>6.8</v>
      </c>
      <c r="AB16" s="191">
        <v>21.44</v>
      </c>
      <c r="AC16" s="74">
        <v>1.1000000000000001</v>
      </c>
      <c r="AD16" s="74">
        <v>391</v>
      </c>
      <c r="AE16" s="74">
        <v>172</v>
      </c>
      <c r="AF16" s="192">
        <f t="shared" si="1"/>
        <v>377</v>
      </c>
      <c r="AG16" s="193">
        <f t="shared" si="2"/>
        <v>0.377</v>
      </c>
      <c r="AH16" s="74">
        <v>228</v>
      </c>
      <c r="AI16" s="74">
        <v>391</v>
      </c>
      <c r="AJ16" s="195">
        <v>0</v>
      </c>
      <c r="AK16" s="195">
        <v>0</v>
      </c>
      <c r="AL16" s="197">
        <f t="shared" si="3"/>
        <v>0</v>
      </c>
      <c r="AM16" s="197">
        <f>(AJ16+AK16)/2</f>
        <v>0</v>
      </c>
      <c r="AN16" s="197">
        <v>0</v>
      </c>
      <c r="AO16" s="197">
        <v>0</v>
      </c>
      <c r="AP16" s="197">
        <f t="shared" si="5"/>
        <v>0</v>
      </c>
      <c r="AQ16" s="197">
        <f t="shared" si="6"/>
        <v>0</v>
      </c>
      <c r="AR16" s="77">
        <f t="shared" si="7"/>
        <v>0</v>
      </c>
      <c r="AS16" s="198">
        <v>2.8000000000000001E-2</v>
      </c>
      <c r="AT16" s="198">
        <v>2.9000000000000001E-2</v>
      </c>
      <c r="AU16" s="198">
        <f t="shared" si="8"/>
        <v>7.0710678118654816E-4</v>
      </c>
      <c r="AV16" s="198">
        <f t="shared" si="9"/>
        <v>2.8500000000000001E-2</v>
      </c>
      <c r="AW16" s="197">
        <v>71.382000000000005</v>
      </c>
      <c r="AX16" s="197">
        <v>66.620999999999995</v>
      </c>
      <c r="AY16" s="197">
        <f t="shared" si="10"/>
        <v>3.36653538522916</v>
      </c>
      <c r="AZ16" s="197">
        <f t="shared" si="11"/>
        <v>69.001499999999993</v>
      </c>
      <c r="BA16" s="199">
        <f t="shared" si="12"/>
        <v>3.0013701609395387</v>
      </c>
      <c r="BB16" s="197">
        <v>2.9000000000000001E-2</v>
      </c>
      <c r="BC16" s="197">
        <v>2.5999999999999999E-2</v>
      </c>
      <c r="BD16" s="197">
        <f t="shared" si="13"/>
        <v>2.1213203435596446E-3</v>
      </c>
      <c r="BE16" s="197">
        <f t="shared" si="14"/>
        <v>5.5E-2</v>
      </c>
      <c r="BF16" s="197">
        <v>5.4009999999999998</v>
      </c>
      <c r="BG16" s="197">
        <v>5.0060000000000002</v>
      </c>
      <c r="BH16" s="197">
        <f t="shared" si="15"/>
        <v>0.27930717856868598</v>
      </c>
      <c r="BI16" s="200">
        <f t="shared" si="16"/>
        <v>5.2035</v>
      </c>
      <c r="BJ16" s="199">
        <f t="shared" si="17"/>
        <v>0.13338887464752627</v>
      </c>
      <c r="BK16" s="197">
        <v>21</v>
      </c>
      <c r="BL16" s="197">
        <v>0</v>
      </c>
      <c r="BM16" s="197">
        <f t="shared" si="18"/>
        <v>14.849242404917497</v>
      </c>
      <c r="BN16" s="197">
        <f t="shared" si="19"/>
        <v>10.5</v>
      </c>
      <c r="BO16" s="77">
        <f t="shared" si="20"/>
        <v>0.52397824242726676</v>
      </c>
      <c r="BP16" s="77">
        <f t="shared" si="21"/>
        <v>0.22826055000000001</v>
      </c>
      <c r="BQ16" s="197">
        <v>1.079</v>
      </c>
      <c r="BR16" s="197">
        <v>1.845</v>
      </c>
      <c r="BS16" s="197">
        <f t="shared" si="22"/>
        <v>0.54164379438889509</v>
      </c>
      <c r="BT16" s="197">
        <f t="shared" si="23"/>
        <v>1.462</v>
      </c>
      <c r="BU16" s="199">
        <f t="shared" si="24"/>
        <v>0.12027972027972028</v>
      </c>
      <c r="BV16" s="199">
        <f t="shared" si="25"/>
        <v>3.1782564200000002E-2</v>
      </c>
      <c r="BW16" s="196">
        <v>140</v>
      </c>
      <c r="BX16" s="196">
        <f t="shared" si="26"/>
        <v>2.2944500531001295</v>
      </c>
      <c r="BY16" s="196">
        <f t="shared" si="0"/>
        <v>3.0434740000000002</v>
      </c>
      <c r="BZ16" s="75">
        <v>0.13</v>
      </c>
      <c r="CA16" s="75">
        <v>0.27600000000000002</v>
      </c>
      <c r="CB16" s="77">
        <v>0.51600000000000001</v>
      </c>
      <c r="CC16" s="77">
        <v>0.432</v>
      </c>
      <c r="CD16" s="77">
        <f t="shared" si="27"/>
        <v>0.47399999999999998</v>
      </c>
      <c r="CE16" s="77">
        <v>21.41</v>
      </c>
      <c r="CF16" s="77">
        <v>20.190000000000001</v>
      </c>
      <c r="CG16" s="77">
        <f t="shared" si="28"/>
        <v>20.8</v>
      </c>
      <c r="CH16" s="75">
        <f t="shared" si="29"/>
        <v>0.5867418899858956</v>
      </c>
      <c r="CI16" s="75">
        <f t="shared" si="30"/>
        <v>0.45217328000000001</v>
      </c>
      <c r="CJ16" s="77">
        <v>0</v>
      </c>
      <c r="CK16" s="77">
        <v>0</v>
      </c>
      <c r="CL16" s="77">
        <f t="shared" si="31"/>
        <v>0</v>
      </c>
      <c r="CM16" s="77">
        <v>0.19400000000000001</v>
      </c>
      <c r="CN16" s="77">
        <v>0.188</v>
      </c>
      <c r="CO16" s="77">
        <f t="shared" si="32"/>
        <v>0.191</v>
      </c>
      <c r="CP16" s="77">
        <v>0.312</v>
      </c>
      <c r="CQ16" s="77">
        <v>0.28699999999999998</v>
      </c>
      <c r="CR16" s="77">
        <f t="shared" si="33"/>
        <v>0.29949999999999999</v>
      </c>
      <c r="CS16" s="77">
        <v>48.247</v>
      </c>
      <c r="CT16" s="77">
        <v>47.390999999999998</v>
      </c>
      <c r="CU16" s="77">
        <f t="shared" si="34"/>
        <v>47.819000000000003</v>
      </c>
      <c r="CV16" s="201">
        <f t="shared" si="35"/>
        <v>0.99560691234645016</v>
      </c>
      <c r="CW16" s="202">
        <f t="shared" si="36"/>
        <v>0.6442579627069871</v>
      </c>
      <c r="CX16" s="202">
        <f t="shared" si="37"/>
        <v>3.2900569654465794</v>
      </c>
      <c r="CY16" s="202">
        <f t="shared" si="38"/>
        <v>0.28078970899214067</v>
      </c>
      <c r="CZ16" s="202">
        <f t="shared" si="39"/>
        <v>3.1347590355870651</v>
      </c>
      <c r="DA16" s="202">
        <f t="shared" si="40"/>
        <v>3.6587372780143319</v>
      </c>
      <c r="DB16" s="202">
        <f t="shared" si="41"/>
        <v>0.85678713648670612</v>
      </c>
      <c r="DC16" s="203"/>
    </row>
    <row r="17" spans="1:107" ht="18" x14ac:dyDescent="0.3">
      <c r="A17" s="183" t="s">
        <v>527</v>
      </c>
      <c r="B17" s="74">
        <v>26.115000000000002</v>
      </c>
      <c r="C17" s="74">
        <v>91.798333333333332</v>
      </c>
      <c r="D17" s="74"/>
      <c r="E17" s="74"/>
      <c r="F17" s="190">
        <v>120</v>
      </c>
      <c r="G17" s="74"/>
      <c r="H17" s="74"/>
      <c r="I17" s="74"/>
      <c r="J17" s="74"/>
      <c r="K17" s="74"/>
      <c r="L17" s="74"/>
      <c r="M17" s="190">
        <v>150</v>
      </c>
      <c r="N17" s="74"/>
      <c r="O17" s="74"/>
      <c r="P17" s="74"/>
      <c r="Q17" s="207">
        <v>40</v>
      </c>
      <c r="R17" s="74"/>
      <c r="S17" s="74"/>
      <c r="T17" s="74"/>
      <c r="U17" s="207">
        <v>30</v>
      </c>
      <c r="V17" s="74"/>
      <c r="W17" s="74"/>
      <c r="X17" s="74"/>
      <c r="Y17" s="74"/>
      <c r="Z17" s="183">
        <v>80</v>
      </c>
      <c r="AA17" s="74">
        <v>8.9</v>
      </c>
      <c r="AB17" s="191">
        <v>21.76</v>
      </c>
      <c r="AC17" s="74">
        <v>0.2</v>
      </c>
      <c r="AD17" s="74">
        <v>357</v>
      </c>
      <c r="AE17" s="74">
        <v>-288</v>
      </c>
      <c r="AF17" s="192">
        <f t="shared" si="1"/>
        <v>-83</v>
      </c>
      <c r="AG17" s="193">
        <f t="shared" si="2"/>
        <v>-8.3000000000000004E-2</v>
      </c>
      <c r="AH17" s="74">
        <v>152</v>
      </c>
      <c r="AI17" s="74">
        <v>357</v>
      </c>
      <c r="AJ17" s="195">
        <v>0</v>
      </c>
      <c r="AK17" s="195">
        <v>0</v>
      </c>
      <c r="AL17" s="197">
        <f t="shared" si="3"/>
        <v>0</v>
      </c>
      <c r="AM17" s="197">
        <f t="shared" si="4"/>
        <v>0</v>
      </c>
      <c r="AN17" s="197">
        <v>34.723999999999997</v>
      </c>
      <c r="AO17" s="197">
        <v>0</v>
      </c>
      <c r="AP17" s="197">
        <f t="shared" si="5"/>
        <v>24.553575869921676</v>
      </c>
      <c r="AQ17" s="197">
        <f t="shared" si="6"/>
        <v>34.723999999999997</v>
      </c>
      <c r="AR17" s="208">
        <f t="shared" si="7"/>
        <v>17.361999999999998</v>
      </c>
      <c r="AS17" s="198">
        <v>4.0000000000000001E-3</v>
      </c>
      <c r="AT17" s="198">
        <v>6.0000000000000001E-3</v>
      </c>
      <c r="AU17" s="198">
        <f t="shared" si="8"/>
        <v>1.414213562373095E-3</v>
      </c>
      <c r="AV17" s="198">
        <f t="shared" si="9"/>
        <v>5.0000000000000001E-3</v>
      </c>
      <c r="AW17" s="197">
        <v>32.606000000000002</v>
      </c>
      <c r="AX17" s="197">
        <v>32.619</v>
      </c>
      <c r="AY17" s="197">
        <f t="shared" si="10"/>
        <v>9.1923881554237911E-3</v>
      </c>
      <c r="AZ17" s="197">
        <f t="shared" si="11"/>
        <v>32.612499999999997</v>
      </c>
      <c r="BA17" s="199">
        <f t="shared" si="12"/>
        <v>1.4185515441496301</v>
      </c>
      <c r="BB17" s="197">
        <v>1.7999999999999999E-2</v>
      </c>
      <c r="BC17" s="197">
        <v>3.1E-2</v>
      </c>
      <c r="BD17" s="197">
        <f t="shared" si="13"/>
        <v>9.1923881554251026E-3</v>
      </c>
      <c r="BE17" s="197">
        <f t="shared" si="14"/>
        <v>4.9000000000000002E-2</v>
      </c>
      <c r="BF17" s="197">
        <v>4.0590000000000002</v>
      </c>
      <c r="BG17" s="197">
        <v>4.1239999999999997</v>
      </c>
      <c r="BH17" s="197">
        <f t="shared" si="15"/>
        <v>4.5961940777125239E-2</v>
      </c>
      <c r="BI17" s="200">
        <f t="shared" si="16"/>
        <v>4.0914999999999999</v>
      </c>
      <c r="BJ17" s="199">
        <f t="shared" si="17"/>
        <v>0.10488336324019483</v>
      </c>
      <c r="BK17" s="197">
        <v>25.364000000000001</v>
      </c>
      <c r="BL17" s="197">
        <v>25.082000000000001</v>
      </c>
      <c r="BM17" s="197">
        <f t="shared" si="18"/>
        <v>0.19940411229460642</v>
      </c>
      <c r="BN17" s="197">
        <f t="shared" si="19"/>
        <v>25.222999999999999</v>
      </c>
      <c r="BO17" s="77">
        <f t="shared" si="20"/>
        <v>1.2586955436898046</v>
      </c>
      <c r="BP17" s="77">
        <f t="shared" si="21"/>
        <v>0.54832531929999995</v>
      </c>
      <c r="BQ17" s="197">
        <v>1.0529999999999999</v>
      </c>
      <c r="BR17" s="197">
        <v>0</v>
      </c>
      <c r="BS17" s="197">
        <f t="shared" si="22"/>
        <v>0.74458344058943449</v>
      </c>
      <c r="BT17" s="197">
        <f t="shared" si="23"/>
        <v>0.52649999999999997</v>
      </c>
      <c r="BU17" s="199">
        <f t="shared" si="24"/>
        <v>4.3315508021390371E-2</v>
      </c>
      <c r="BV17" s="199">
        <f t="shared" si="25"/>
        <v>1.1445636149999999E-2</v>
      </c>
      <c r="BW17" s="196">
        <v>186</v>
      </c>
      <c r="BX17" s="196">
        <f t="shared" si="26"/>
        <v>3.0483407848330293</v>
      </c>
      <c r="BY17" s="196">
        <f t="shared" si="0"/>
        <v>4.0434726000000003</v>
      </c>
      <c r="BZ17" s="75">
        <v>0.12</v>
      </c>
      <c r="CA17" s="75">
        <v>0.34100000000000003</v>
      </c>
      <c r="CB17" s="77">
        <v>0.254</v>
      </c>
      <c r="CC17" s="77">
        <v>0.32100000000000001</v>
      </c>
      <c r="CD17" s="77">
        <f t="shared" si="27"/>
        <v>0.28749999999999998</v>
      </c>
      <c r="CE17" s="77">
        <v>28.116</v>
      </c>
      <c r="CF17" s="77">
        <v>27.972000000000001</v>
      </c>
      <c r="CG17" s="77">
        <f t="shared" si="28"/>
        <v>28.044</v>
      </c>
      <c r="CH17" s="75">
        <f t="shared" si="29"/>
        <v>0.79108603667136812</v>
      </c>
      <c r="CI17" s="75">
        <f t="shared" si="30"/>
        <v>0.60965132040000003</v>
      </c>
      <c r="CJ17" s="77">
        <v>0</v>
      </c>
      <c r="CK17" s="77">
        <v>0</v>
      </c>
      <c r="CL17" s="77">
        <f t="shared" si="31"/>
        <v>0</v>
      </c>
      <c r="CM17" s="77">
        <v>0.182</v>
      </c>
      <c r="CN17" s="77">
        <v>0.187</v>
      </c>
      <c r="CO17" s="77">
        <f t="shared" si="32"/>
        <v>0.1845</v>
      </c>
      <c r="CP17" s="77">
        <v>0</v>
      </c>
      <c r="CQ17" s="77">
        <v>0</v>
      </c>
      <c r="CR17" s="77">
        <f t="shared" si="33"/>
        <v>0</v>
      </c>
      <c r="CS17" s="77">
        <v>0</v>
      </c>
      <c r="CT17" s="77">
        <v>0</v>
      </c>
      <c r="CU17" s="77">
        <f t="shared" si="34"/>
        <v>0</v>
      </c>
      <c r="CV17" s="201">
        <f t="shared" si="35"/>
        <v>0</v>
      </c>
      <c r="CW17" s="202">
        <f t="shared" si="36"/>
        <v>1.3020110517111949</v>
      </c>
      <c r="CX17" s="202">
        <f t="shared" si="37"/>
        <v>3.0483407848330293</v>
      </c>
      <c r="CY17" s="202">
        <f t="shared" si="38"/>
        <v>0.42712122548414866</v>
      </c>
      <c r="CZ17" s="202">
        <f t="shared" si="39"/>
        <v>1.523434907389825</v>
      </c>
      <c r="DA17" s="202">
        <f t="shared" si="40"/>
        <v>2.7821304510796296</v>
      </c>
      <c r="DB17" s="202">
        <f t="shared" si="41"/>
        <v>0.54757853169632753</v>
      </c>
      <c r="DC17" s="203"/>
    </row>
    <row r="18" spans="1:107" ht="15.6" x14ac:dyDescent="0.3">
      <c r="A18" s="183" t="s">
        <v>528</v>
      </c>
      <c r="B18" s="74">
        <v>26.117222222222221</v>
      </c>
      <c r="C18" s="74">
        <v>91.790277777777774</v>
      </c>
      <c r="D18" s="74"/>
      <c r="E18" s="74"/>
      <c r="F18" s="190">
        <v>100</v>
      </c>
      <c r="G18" s="74"/>
      <c r="H18" s="74"/>
      <c r="I18" s="74"/>
      <c r="J18" s="74"/>
      <c r="K18" s="74"/>
      <c r="L18" s="74"/>
      <c r="M18" s="190">
        <v>120</v>
      </c>
      <c r="N18" s="74"/>
      <c r="O18" s="74"/>
      <c r="P18" s="74"/>
      <c r="Q18" s="190">
        <v>30</v>
      </c>
      <c r="R18" s="74"/>
      <c r="S18" s="74"/>
      <c r="T18" s="74"/>
      <c r="U18" s="190">
        <v>40</v>
      </c>
      <c r="V18" s="74"/>
      <c r="W18" s="74"/>
      <c r="X18" s="74"/>
      <c r="Y18" s="74"/>
      <c r="Z18" s="206">
        <v>55</v>
      </c>
      <c r="AA18" s="74">
        <v>7.1</v>
      </c>
      <c r="AB18" s="191">
        <v>21.46</v>
      </c>
      <c r="AC18" s="74">
        <v>1.1000000000000001</v>
      </c>
      <c r="AD18" s="74">
        <v>271</v>
      </c>
      <c r="AE18" s="74">
        <v>164</v>
      </c>
      <c r="AF18" s="192">
        <f t="shared" si="1"/>
        <v>369</v>
      </c>
      <c r="AG18" s="193">
        <f t="shared" si="2"/>
        <v>0.36899999999999999</v>
      </c>
      <c r="AH18" s="74">
        <v>186</v>
      </c>
      <c r="AI18" s="74">
        <v>271</v>
      </c>
      <c r="AJ18" s="195">
        <v>0</v>
      </c>
      <c r="AK18" s="195">
        <v>0</v>
      </c>
      <c r="AL18" s="197">
        <f t="shared" si="3"/>
        <v>0</v>
      </c>
      <c r="AM18" s="197">
        <f t="shared" si="4"/>
        <v>0</v>
      </c>
      <c r="AN18" s="197">
        <v>0</v>
      </c>
      <c r="AO18" s="197">
        <v>0</v>
      </c>
      <c r="AP18" s="197">
        <f t="shared" si="5"/>
        <v>0</v>
      </c>
      <c r="AQ18" s="197">
        <f t="shared" si="6"/>
        <v>0</v>
      </c>
      <c r="AR18" s="77">
        <f t="shared" si="7"/>
        <v>0</v>
      </c>
      <c r="AS18" s="198">
        <v>6.0000000000000001E-3</v>
      </c>
      <c r="AT18" s="198">
        <v>3.0000000000000001E-3</v>
      </c>
      <c r="AU18" s="198">
        <f t="shared" si="8"/>
        <v>2.1213203435596424E-3</v>
      </c>
      <c r="AV18" s="198">
        <f t="shared" si="9"/>
        <v>4.5000000000000005E-3</v>
      </c>
      <c r="AW18" s="197">
        <v>27.54</v>
      </c>
      <c r="AX18" s="197">
        <v>29.175000000000001</v>
      </c>
      <c r="AY18" s="197">
        <f t="shared" si="10"/>
        <v>1.1561195872400063</v>
      </c>
      <c r="AZ18" s="197">
        <f t="shared" si="11"/>
        <v>28.357500000000002</v>
      </c>
      <c r="BA18" s="199">
        <f t="shared" si="12"/>
        <v>1.2334710743801653</v>
      </c>
      <c r="BB18" s="197">
        <v>1.2E-2</v>
      </c>
      <c r="BC18" s="197">
        <v>1.9E-2</v>
      </c>
      <c r="BD18" s="197">
        <f t="shared" si="13"/>
        <v>4.9497474683058377E-3</v>
      </c>
      <c r="BE18" s="197">
        <f t="shared" si="14"/>
        <v>3.1E-2</v>
      </c>
      <c r="BF18" s="197">
        <v>2.2210000000000001</v>
      </c>
      <c r="BG18" s="197">
        <v>2.2709999999999999</v>
      </c>
      <c r="BH18" s="197">
        <f t="shared" si="15"/>
        <v>3.5355339059327251E-2</v>
      </c>
      <c r="BI18" s="200">
        <f t="shared" si="16"/>
        <v>2.246</v>
      </c>
      <c r="BJ18" s="199">
        <f t="shared" si="17"/>
        <v>5.7574980774160477E-2</v>
      </c>
      <c r="BK18" s="197">
        <v>30.212</v>
      </c>
      <c r="BL18" s="197">
        <v>32.088999999999999</v>
      </c>
      <c r="BM18" s="197">
        <f t="shared" si="18"/>
        <v>1.3272394282871489</v>
      </c>
      <c r="BN18" s="197">
        <f t="shared" si="19"/>
        <v>31.150500000000001</v>
      </c>
      <c r="BO18" s="77">
        <f t="shared" si="20"/>
        <v>1.5544937372124357</v>
      </c>
      <c r="BP18" s="77">
        <f t="shared" si="21"/>
        <v>0.67718383455000009</v>
      </c>
      <c r="BQ18" s="197">
        <v>1.069</v>
      </c>
      <c r="BR18" s="197">
        <v>1.165</v>
      </c>
      <c r="BS18" s="197">
        <f t="shared" si="22"/>
        <v>6.7882250993908627E-2</v>
      </c>
      <c r="BT18" s="197">
        <f t="shared" si="23"/>
        <v>1.117</v>
      </c>
      <c r="BU18" s="199">
        <f t="shared" si="24"/>
        <v>9.1896338955162485E-2</v>
      </c>
      <c r="BV18" s="199">
        <f t="shared" si="25"/>
        <v>2.42825747E-2</v>
      </c>
      <c r="BW18" s="196">
        <v>177.99999999999997</v>
      </c>
      <c r="BX18" s="196">
        <f t="shared" si="26"/>
        <v>2.9172293532273073</v>
      </c>
      <c r="BY18" s="196">
        <f t="shared" si="0"/>
        <v>3.8695597999999993</v>
      </c>
      <c r="BZ18" s="75">
        <v>0.18</v>
      </c>
      <c r="CA18" s="75">
        <v>0.32100000000000001</v>
      </c>
      <c r="CB18" s="77">
        <v>0.27600000000000002</v>
      </c>
      <c r="CC18" s="77">
        <v>0.214</v>
      </c>
      <c r="CD18" s="77">
        <f t="shared" si="27"/>
        <v>0.245</v>
      </c>
      <c r="CE18" s="77">
        <v>26.411999999999999</v>
      </c>
      <c r="CF18" s="77">
        <v>24.931999999999999</v>
      </c>
      <c r="CG18" s="77">
        <f t="shared" si="28"/>
        <v>25.671999999999997</v>
      </c>
      <c r="CH18" s="75">
        <f t="shared" si="29"/>
        <v>0.72417489421720715</v>
      </c>
      <c r="CI18" s="75">
        <f t="shared" si="30"/>
        <v>0.55808617519999992</v>
      </c>
      <c r="CJ18" s="77">
        <v>0</v>
      </c>
      <c r="CK18" s="77">
        <v>0</v>
      </c>
      <c r="CL18" s="77">
        <f t="shared" si="31"/>
        <v>0</v>
      </c>
      <c r="CM18" s="77">
        <v>8.4000000000000005E-2</v>
      </c>
      <c r="CN18" s="77">
        <v>0</v>
      </c>
      <c r="CO18" s="77">
        <f t="shared" si="32"/>
        <v>4.2000000000000003E-2</v>
      </c>
      <c r="CP18" s="77">
        <v>1.72E-2</v>
      </c>
      <c r="CQ18" s="77">
        <v>1.0200000000000001E-2</v>
      </c>
      <c r="CR18" s="77">
        <f t="shared" si="33"/>
        <v>1.37E-2</v>
      </c>
      <c r="CS18" s="77">
        <v>16.834</v>
      </c>
      <c r="CT18" s="77">
        <v>16.091999999999999</v>
      </c>
      <c r="CU18" s="77">
        <f t="shared" si="34"/>
        <v>16.463000000000001</v>
      </c>
      <c r="CV18" s="201">
        <f t="shared" si="35"/>
        <v>0.34276493858005413</v>
      </c>
      <c r="CW18" s="202">
        <f t="shared" si="36"/>
        <v>1.6463900761675982</v>
      </c>
      <c r="CX18" s="202">
        <f t="shared" si="37"/>
        <v>3.2599942918073612</v>
      </c>
      <c r="CY18" s="202">
        <f t="shared" si="38"/>
        <v>0.56436771909833217</v>
      </c>
      <c r="CZ18" s="202">
        <f t="shared" si="39"/>
        <v>1.2910460551543259</v>
      </c>
      <c r="DA18" s="202">
        <f t="shared" si="40"/>
        <v>2.8455397923667616</v>
      </c>
      <c r="DB18" s="202">
        <f t="shared" si="41"/>
        <v>0.45370866315684366</v>
      </c>
      <c r="DC18" s="203"/>
    </row>
    <row r="19" spans="1:107" ht="18" x14ac:dyDescent="0.3">
      <c r="A19" s="183" t="s">
        <v>529</v>
      </c>
      <c r="B19" s="74">
        <v>26.116944444444446</v>
      </c>
      <c r="C19" s="74">
        <v>91.786666666666662</v>
      </c>
      <c r="D19" s="74"/>
      <c r="E19" s="74"/>
      <c r="F19" s="190">
        <v>300</v>
      </c>
      <c r="G19" s="74"/>
      <c r="H19" s="74"/>
      <c r="I19" s="74"/>
      <c r="J19" s="74"/>
      <c r="K19" s="74"/>
      <c r="L19" s="74"/>
      <c r="M19" s="190">
        <v>350</v>
      </c>
      <c r="N19" s="74"/>
      <c r="O19" s="74"/>
      <c r="P19" s="74"/>
      <c r="Q19" s="207">
        <v>100</v>
      </c>
      <c r="R19" s="74"/>
      <c r="S19" s="74"/>
      <c r="T19" s="74"/>
      <c r="U19" s="207">
        <v>120</v>
      </c>
      <c r="V19" s="74"/>
      <c r="W19" s="74"/>
      <c r="X19" s="74"/>
      <c r="Y19" s="74"/>
      <c r="Z19" s="206">
        <v>60</v>
      </c>
      <c r="AA19" s="210">
        <v>8.6999999999999993</v>
      </c>
      <c r="AB19" s="191">
        <v>24.35</v>
      </c>
      <c r="AC19" s="210">
        <v>0.3</v>
      </c>
      <c r="AD19" s="74">
        <v>160</v>
      </c>
      <c r="AE19" s="210">
        <v>-371</v>
      </c>
      <c r="AF19" s="192">
        <f t="shared" si="1"/>
        <v>-166</v>
      </c>
      <c r="AG19" s="193">
        <f t="shared" si="2"/>
        <v>-0.16600000000000001</v>
      </c>
      <c r="AH19" s="74">
        <v>129</v>
      </c>
      <c r="AI19" s="74">
        <v>160</v>
      </c>
      <c r="AJ19" s="195">
        <v>0</v>
      </c>
      <c r="AK19" s="195">
        <v>0</v>
      </c>
      <c r="AL19" s="197">
        <f t="shared" si="3"/>
        <v>0</v>
      </c>
      <c r="AM19" s="197">
        <f t="shared" si="4"/>
        <v>0</v>
      </c>
      <c r="AN19" s="197">
        <v>32.86</v>
      </c>
      <c r="AO19" s="197">
        <v>0</v>
      </c>
      <c r="AP19" s="197">
        <f t="shared" si="5"/>
        <v>23.235528829789953</v>
      </c>
      <c r="AQ19" s="197">
        <f t="shared" si="6"/>
        <v>32.86</v>
      </c>
      <c r="AR19" s="208">
        <f t="shared" si="7"/>
        <v>16.43</v>
      </c>
      <c r="AS19" s="198">
        <v>5.8999999999999997E-2</v>
      </c>
      <c r="AT19" s="198">
        <v>6.6000000000000003E-2</v>
      </c>
      <c r="AU19" s="198">
        <f t="shared" si="8"/>
        <v>4.9497474683058368E-3</v>
      </c>
      <c r="AV19" s="198">
        <f t="shared" si="9"/>
        <v>6.25E-2</v>
      </c>
      <c r="AW19" s="197">
        <v>28.145</v>
      </c>
      <c r="AX19" s="197">
        <v>27.709</v>
      </c>
      <c r="AY19" s="197">
        <f t="shared" si="10"/>
        <v>0.30829855659733468</v>
      </c>
      <c r="AZ19" s="197">
        <f t="shared" si="11"/>
        <v>27.927</v>
      </c>
      <c r="BA19" s="199">
        <f t="shared" si="12"/>
        <v>1.2147455415398001</v>
      </c>
      <c r="BB19" s="197">
        <v>1.4999999999999999E-2</v>
      </c>
      <c r="BC19" s="197">
        <v>1.6E-2</v>
      </c>
      <c r="BD19" s="197">
        <f t="shared" si="13"/>
        <v>7.0710678118654816E-4</v>
      </c>
      <c r="BE19" s="197">
        <f t="shared" si="14"/>
        <v>3.1E-2</v>
      </c>
      <c r="BF19" s="197">
        <v>2.5510000000000002</v>
      </c>
      <c r="BG19" s="197">
        <v>2.6920000000000002</v>
      </c>
      <c r="BH19" s="197">
        <f t="shared" si="15"/>
        <v>9.9702056147303209E-2</v>
      </c>
      <c r="BI19" s="200">
        <f t="shared" si="16"/>
        <v>2.6215000000000002</v>
      </c>
      <c r="BJ19" s="199">
        <f t="shared" si="17"/>
        <v>6.7200717764675733E-2</v>
      </c>
      <c r="BK19" s="197">
        <v>33.283000000000001</v>
      </c>
      <c r="BL19" s="197">
        <v>33.588000000000001</v>
      </c>
      <c r="BM19" s="197">
        <f t="shared" si="18"/>
        <v>0.21566756826189679</v>
      </c>
      <c r="BN19" s="197">
        <f t="shared" si="19"/>
        <v>33.435500000000005</v>
      </c>
      <c r="BO19" s="77">
        <f t="shared" si="20"/>
        <v>1.6685213833025601</v>
      </c>
      <c r="BP19" s="77">
        <f t="shared" si="21"/>
        <v>0.72685767805000012</v>
      </c>
      <c r="BQ19" s="197">
        <v>2.11</v>
      </c>
      <c r="BR19" s="197">
        <v>0</v>
      </c>
      <c r="BS19" s="197">
        <f t="shared" si="22"/>
        <v>1.4919953083036153</v>
      </c>
      <c r="BT19" s="197">
        <f t="shared" si="23"/>
        <v>1.0549999999999999</v>
      </c>
      <c r="BU19" s="199">
        <f t="shared" si="24"/>
        <v>8.6795557383792674E-2</v>
      </c>
      <c r="BV19" s="199">
        <f t="shared" si="25"/>
        <v>2.29347505E-2</v>
      </c>
      <c r="BW19" s="196">
        <v>197.99999999999997</v>
      </c>
      <c r="BX19" s="196">
        <f t="shared" si="26"/>
        <v>3.2450079322416117</v>
      </c>
      <c r="BY19" s="196">
        <f t="shared" si="0"/>
        <v>4.3043417999999996</v>
      </c>
      <c r="BZ19" s="75">
        <v>0.11</v>
      </c>
      <c r="CA19" s="75">
        <v>0.26</v>
      </c>
      <c r="CB19" s="77">
        <v>0.92500000000000004</v>
      </c>
      <c r="CC19" s="77">
        <v>0.873</v>
      </c>
      <c r="CD19" s="77">
        <f t="shared" si="27"/>
        <v>0.89900000000000002</v>
      </c>
      <c r="CE19" s="77">
        <v>13.241</v>
      </c>
      <c r="CF19" s="77">
        <v>10.122999999999999</v>
      </c>
      <c r="CG19" s="77">
        <f t="shared" si="28"/>
        <v>11.681999999999999</v>
      </c>
      <c r="CH19" s="75">
        <f t="shared" si="29"/>
        <v>0.32953455571227075</v>
      </c>
      <c r="CI19" s="75">
        <f t="shared" si="30"/>
        <v>0.2539561662</v>
      </c>
      <c r="CJ19" s="77">
        <v>0</v>
      </c>
      <c r="CK19" s="77">
        <v>0</v>
      </c>
      <c r="CL19" s="77">
        <f t="shared" si="31"/>
        <v>0</v>
      </c>
      <c r="CM19" s="77">
        <v>1.421</v>
      </c>
      <c r="CN19" s="77">
        <v>0.56299999999999994</v>
      </c>
      <c r="CO19" s="77">
        <f t="shared" si="32"/>
        <v>0.99199999999999999</v>
      </c>
      <c r="CP19" s="77">
        <v>1.2609999999999999</v>
      </c>
      <c r="CQ19" s="77">
        <v>1.321</v>
      </c>
      <c r="CR19" s="77">
        <f t="shared" si="33"/>
        <v>1.2909999999999999</v>
      </c>
      <c r="CS19" s="77">
        <v>3.1709999999999998</v>
      </c>
      <c r="CT19" s="77">
        <v>3.242</v>
      </c>
      <c r="CU19" s="77">
        <f t="shared" si="34"/>
        <v>3.2065000000000001</v>
      </c>
      <c r="CV19" s="201">
        <f t="shared" si="35"/>
        <v>6.6760358109514889E-2</v>
      </c>
      <c r="CW19" s="202">
        <f t="shared" si="36"/>
        <v>1.7553169406863527</v>
      </c>
      <c r="CX19" s="202">
        <f t="shared" si="37"/>
        <v>3.3117682903511265</v>
      </c>
      <c r="CY19" s="202">
        <f t="shared" si="38"/>
        <v>0.5409283975074296</v>
      </c>
      <c r="CZ19" s="202">
        <f t="shared" si="39"/>
        <v>1.2819462593044757</v>
      </c>
      <c r="DA19" s="202">
        <f t="shared" si="40"/>
        <v>2.9504676426070358</v>
      </c>
      <c r="DB19" s="202">
        <f t="shared" si="41"/>
        <v>0.43448917750941574</v>
      </c>
      <c r="DC19" s="203"/>
    </row>
    <row r="20" spans="1:107" ht="18" x14ac:dyDescent="0.3">
      <c r="A20" s="183" t="s">
        <v>530</v>
      </c>
      <c r="B20" s="74">
        <v>26.122222222222224</v>
      </c>
      <c r="C20" s="74">
        <v>91.803333333333327</v>
      </c>
      <c r="D20" s="74"/>
      <c r="E20" s="74"/>
      <c r="F20" s="190">
        <v>200</v>
      </c>
      <c r="G20" s="74"/>
      <c r="H20" s="74"/>
      <c r="I20" s="74"/>
      <c r="J20" s="74"/>
      <c r="K20" s="74"/>
      <c r="L20" s="74"/>
      <c r="M20" s="190">
        <v>220</v>
      </c>
      <c r="N20" s="74"/>
      <c r="O20" s="74"/>
      <c r="P20" s="74"/>
      <c r="Q20" s="207">
        <v>120</v>
      </c>
      <c r="R20" s="74"/>
      <c r="S20" s="74"/>
      <c r="T20" s="74"/>
      <c r="U20" s="207">
        <v>100</v>
      </c>
      <c r="V20" s="74"/>
      <c r="W20" s="74"/>
      <c r="X20" s="74"/>
      <c r="Y20" s="74"/>
      <c r="Z20" s="206">
        <v>140</v>
      </c>
      <c r="AA20" s="74">
        <v>8.8000000000000007</v>
      </c>
      <c r="AB20" s="191">
        <v>22.18</v>
      </c>
      <c r="AC20" s="74">
        <v>0.2</v>
      </c>
      <c r="AD20" s="74">
        <v>248</v>
      </c>
      <c r="AE20" s="74">
        <v>-302</v>
      </c>
      <c r="AF20" s="192">
        <f t="shared" si="1"/>
        <v>-97</v>
      </c>
      <c r="AG20" s="193">
        <f t="shared" si="2"/>
        <v>-9.7000000000000003E-2</v>
      </c>
      <c r="AH20" s="74">
        <v>132</v>
      </c>
      <c r="AI20" s="74">
        <v>248</v>
      </c>
      <c r="AJ20" s="195">
        <v>0</v>
      </c>
      <c r="AK20" s="195">
        <v>0</v>
      </c>
      <c r="AL20" s="197">
        <f t="shared" si="3"/>
        <v>0</v>
      </c>
      <c r="AM20" s="197">
        <f t="shared" si="4"/>
        <v>0</v>
      </c>
      <c r="AN20" s="197">
        <v>34.639000000000003</v>
      </c>
      <c r="AO20" s="197">
        <v>0</v>
      </c>
      <c r="AP20" s="197">
        <f t="shared" si="5"/>
        <v>24.493471793520822</v>
      </c>
      <c r="AQ20" s="197">
        <f t="shared" si="6"/>
        <v>34.639000000000003</v>
      </c>
      <c r="AR20" s="208">
        <f t="shared" si="7"/>
        <v>17.319500000000001</v>
      </c>
      <c r="AS20" s="198">
        <v>8.0000000000000002E-3</v>
      </c>
      <c r="AT20" s="198">
        <v>0.01</v>
      </c>
      <c r="AU20" s="198">
        <f t="shared" si="8"/>
        <v>1.4142135623730952E-3</v>
      </c>
      <c r="AV20" s="198">
        <f t="shared" si="9"/>
        <v>9.0000000000000011E-3</v>
      </c>
      <c r="AW20" s="197">
        <v>37.159999999999997</v>
      </c>
      <c r="AX20" s="197">
        <v>34.805999999999997</v>
      </c>
      <c r="AY20" s="197">
        <f t="shared" si="10"/>
        <v>1.6645293629131324</v>
      </c>
      <c r="AZ20" s="197">
        <f t="shared" si="11"/>
        <v>35.982999999999997</v>
      </c>
      <c r="BA20" s="199">
        <f t="shared" si="12"/>
        <v>1.5651587646802958</v>
      </c>
      <c r="BB20" s="197">
        <v>2.1999999999999999E-2</v>
      </c>
      <c r="BC20" s="197">
        <v>1.9E-2</v>
      </c>
      <c r="BD20" s="197">
        <f t="shared" si="13"/>
        <v>2.121320343559642E-3</v>
      </c>
      <c r="BE20" s="197">
        <f t="shared" si="14"/>
        <v>4.0999999999999995E-2</v>
      </c>
      <c r="BF20" s="197">
        <v>4.3369999999999997</v>
      </c>
      <c r="BG20" s="197">
        <v>4.202</v>
      </c>
      <c r="BH20" s="197">
        <f t="shared" si="15"/>
        <v>9.5459415460183772E-2</v>
      </c>
      <c r="BI20" s="200">
        <f t="shared" si="16"/>
        <v>4.2694999999999999</v>
      </c>
      <c r="BJ20" s="199">
        <f t="shared" si="17"/>
        <v>0.10944629582158422</v>
      </c>
      <c r="BK20" s="197">
        <v>30.087</v>
      </c>
      <c r="BL20" s="197">
        <v>28.337</v>
      </c>
      <c r="BM20" s="197">
        <f t="shared" si="18"/>
        <v>1.2374368670764582</v>
      </c>
      <c r="BN20" s="197">
        <f t="shared" si="19"/>
        <v>29.212</v>
      </c>
      <c r="BO20" s="77">
        <f t="shared" si="20"/>
        <v>1.4577573731224112</v>
      </c>
      <c r="BP20" s="77">
        <f t="shared" si="21"/>
        <v>0.63504258920000001</v>
      </c>
      <c r="BQ20" s="197">
        <v>1.0309999999999999</v>
      </c>
      <c r="BR20" s="197">
        <v>0</v>
      </c>
      <c r="BS20" s="197">
        <f t="shared" si="22"/>
        <v>0.72902709140333044</v>
      </c>
      <c r="BT20" s="197">
        <f t="shared" si="23"/>
        <v>0.51549999999999996</v>
      </c>
      <c r="BU20" s="199">
        <f t="shared" si="24"/>
        <v>4.2410530645824764E-2</v>
      </c>
      <c r="BV20" s="199">
        <f t="shared" si="25"/>
        <v>1.1206506049999999E-2</v>
      </c>
      <c r="BW20" s="196">
        <v>245.0980392156863</v>
      </c>
      <c r="BX20" s="196">
        <f t="shared" si="26"/>
        <v>4.0168943506654937</v>
      </c>
      <c r="BY20" s="196">
        <f t="shared" si="0"/>
        <v>5.3282107843137263</v>
      </c>
      <c r="BZ20" s="75">
        <v>0.14000000000000001</v>
      </c>
      <c r="CA20" s="75">
        <v>0.25700000000000001</v>
      </c>
      <c r="CB20" s="77">
        <v>0.432</v>
      </c>
      <c r="CC20" s="77">
        <v>0.34100000000000003</v>
      </c>
      <c r="CD20" s="77">
        <f t="shared" si="27"/>
        <v>0.38650000000000001</v>
      </c>
      <c r="CE20" s="77">
        <v>20.18</v>
      </c>
      <c r="CF20" s="77">
        <v>21.93</v>
      </c>
      <c r="CG20" s="77">
        <f t="shared" si="28"/>
        <v>21.055</v>
      </c>
      <c r="CH20" s="75">
        <f t="shared" si="29"/>
        <v>0.59393511988716496</v>
      </c>
      <c r="CI20" s="75">
        <f t="shared" si="30"/>
        <v>0.45771675049999999</v>
      </c>
      <c r="CJ20" s="77">
        <v>0</v>
      </c>
      <c r="CK20" s="77">
        <v>0</v>
      </c>
      <c r="CL20" s="77">
        <f t="shared" si="31"/>
        <v>0</v>
      </c>
      <c r="CM20" s="77">
        <v>1.65</v>
      </c>
      <c r="CN20" s="77">
        <v>1.21</v>
      </c>
      <c r="CO20" s="77">
        <f t="shared" si="32"/>
        <v>1.43</v>
      </c>
      <c r="CP20" s="77">
        <v>3.2330000000000001</v>
      </c>
      <c r="CQ20" s="77">
        <v>3.1120000000000001</v>
      </c>
      <c r="CR20" s="77">
        <f t="shared" si="33"/>
        <v>3.1725000000000003</v>
      </c>
      <c r="CS20" s="77">
        <v>3.0939999999999999</v>
      </c>
      <c r="CT20" s="77">
        <v>3.2010000000000001</v>
      </c>
      <c r="CU20" s="77">
        <f t="shared" si="34"/>
        <v>3.1475</v>
      </c>
      <c r="CV20" s="201">
        <f t="shared" si="35"/>
        <v>6.5531959192171557E-2</v>
      </c>
      <c r="CW20" s="202">
        <f t="shared" si="36"/>
        <v>1.5001679037682358</v>
      </c>
      <c r="CX20" s="202">
        <f t="shared" si="37"/>
        <v>4.0824263098576656</v>
      </c>
      <c r="CY20" s="202">
        <f t="shared" si="38"/>
        <v>0.3734646153986344</v>
      </c>
      <c r="CZ20" s="202">
        <f t="shared" si="39"/>
        <v>1.6746050605018801</v>
      </c>
      <c r="DA20" s="202">
        <f t="shared" si="40"/>
        <v>3.1323624336242912</v>
      </c>
      <c r="DB20" s="202">
        <f t="shared" si="41"/>
        <v>0.5346140799435789</v>
      </c>
      <c r="DC20" s="203"/>
    </row>
    <row r="21" spans="1:107" ht="15.6" x14ac:dyDescent="0.3">
      <c r="A21" s="183" t="s">
        <v>531</v>
      </c>
      <c r="B21" s="74">
        <v>26.121666666666666</v>
      </c>
      <c r="C21" s="74">
        <v>91.803333333333327</v>
      </c>
      <c r="D21" s="74"/>
      <c r="E21" s="74"/>
      <c r="F21" s="190">
        <v>30</v>
      </c>
      <c r="G21" s="74"/>
      <c r="H21" s="74"/>
      <c r="I21" s="74"/>
      <c r="J21" s="74"/>
      <c r="K21" s="74"/>
      <c r="L21" s="74"/>
      <c r="M21" s="190">
        <v>40</v>
      </c>
      <c r="N21" s="74"/>
      <c r="O21" s="74"/>
      <c r="P21" s="74"/>
      <c r="Q21" s="190">
        <v>10</v>
      </c>
      <c r="R21" s="74"/>
      <c r="S21" s="74"/>
      <c r="T21" s="74"/>
      <c r="U21" s="190">
        <v>13</v>
      </c>
      <c r="V21" s="74"/>
      <c r="W21" s="74"/>
      <c r="X21" s="74"/>
      <c r="Y21" s="74"/>
      <c r="Z21" s="206">
        <v>120</v>
      </c>
      <c r="AA21" s="74">
        <v>6.8</v>
      </c>
      <c r="AB21" s="191">
        <v>22.25</v>
      </c>
      <c r="AC21" s="74">
        <v>1.4</v>
      </c>
      <c r="AD21" s="74">
        <v>384</v>
      </c>
      <c r="AE21" s="74">
        <v>184</v>
      </c>
      <c r="AF21" s="192">
        <f t="shared" si="1"/>
        <v>389</v>
      </c>
      <c r="AG21" s="193">
        <f t="shared" si="2"/>
        <v>0.38900000000000001</v>
      </c>
      <c r="AH21" s="74">
        <v>204</v>
      </c>
      <c r="AI21" s="74">
        <v>384</v>
      </c>
      <c r="AJ21" s="195">
        <v>0</v>
      </c>
      <c r="AK21" s="195">
        <v>0</v>
      </c>
      <c r="AL21" s="197">
        <f t="shared" si="3"/>
        <v>0</v>
      </c>
      <c r="AM21" s="197">
        <f t="shared" si="4"/>
        <v>0</v>
      </c>
      <c r="AN21" s="197">
        <v>0</v>
      </c>
      <c r="AO21" s="197">
        <v>0</v>
      </c>
      <c r="AP21" s="197">
        <f t="shared" si="5"/>
        <v>0</v>
      </c>
      <c r="AQ21" s="197">
        <f t="shared" si="6"/>
        <v>0</v>
      </c>
      <c r="AR21" s="77">
        <f t="shared" si="7"/>
        <v>0</v>
      </c>
      <c r="AS21" s="198">
        <v>3.1E-2</v>
      </c>
      <c r="AT21" s="198">
        <v>2.9000000000000001E-2</v>
      </c>
      <c r="AU21" s="198">
        <f t="shared" si="8"/>
        <v>1.4142135623730939E-3</v>
      </c>
      <c r="AV21" s="198">
        <f t="shared" si="9"/>
        <v>0.03</v>
      </c>
      <c r="AW21" s="197">
        <v>47.39</v>
      </c>
      <c r="AX21" s="197">
        <v>45.302999999999997</v>
      </c>
      <c r="AY21" s="197">
        <f t="shared" si="10"/>
        <v>1.475731852336327</v>
      </c>
      <c r="AZ21" s="197">
        <f t="shared" si="11"/>
        <v>46.346499999999999</v>
      </c>
      <c r="BA21" s="199">
        <f t="shared" si="12"/>
        <v>2.015941713788604</v>
      </c>
      <c r="BB21" s="197">
        <v>0.77300000000000002</v>
      </c>
      <c r="BC21" s="197">
        <v>0.83799999999999997</v>
      </c>
      <c r="BD21" s="197">
        <f t="shared" si="13"/>
        <v>4.5961940777125551E-2</v>
      </c>
      <c r="BE21" s="197">
        <f t="shared" si="14"/>
        <v>1.611</v>
      </c>
      <c r="BF21" s="197">
        <v>6.7560000000000002</v>
      </c>
      <c r="BG21" s="197">
        <v>6.3769999999999998</v>
      </c>
      <c r="BH21" s="197">
        <f t="shared" si="15"/>
        <v>0.26799347006970187</v>
      </c>
      <c r="BI21" s="200">
        <f t="shared" si="16"/>
        <v>6.5664999999999996</v>
      </c>
      <c r="BJ21" s="199">
        <f t="shared" si="17"/>
        <v>0.16832863368367085</v>
      </c>
      <c r="BK21" s="197">
        <v>10</v>
      </c>
      <c r="BL21" s="197">
        <v>0</v>
      </c>
      <c r="BM21" s="197">
        <f t="shared" si="18"/>
        <v>7.0710678118654755</v>
      </c>
      <c r="BN21" s="197">
        <f t="shared" si="19"/>
        <v>5</v>
      </c>
      <c r="BO21" s="77">
        <f t="shared" si="20"/>
        <v>0.24951344877488896</v>
      </c>
      <c r="BP21" s="77">
        <f t="shared" si="21"/>
        <v>0.1086955</v>
      </c>
      <c r="BQ21" s="197">
        <v>2</v>
      </c>
      <c r="BR21" s="197">
        <v>0</v>
      </c>
      <c r="BS21" s="197">
        <f t="shared" si="22"/>
        <v>1.4142135623730951</v>
      </c>
      <c r="BT21" s="197">
        <f t="shared" si="23"/>
        <v>1</v>
      </c>
      <c r="BU21" s="199">
        <f t="shared" si="24"/>
        <v>8.2270670505964621E-2</v>
      </c>
      <c r="BV21" s="199">
        <f t="shared" si="25"/>
        <v>2.1739100000000001E-2</v>
      </c>
      <c r="BW21" s="196">
        <v>247.55700325732897</v>
      </c>
      <c r="BX21" s="196">
        <f t="shared" si="26"/>
        <v>4.0571941376363387</v>
      </c>
      <c r="BY21" s="196">
        <f t="shared" si="0"/>
        <v>5.3816664495114006</v>
      </c>
      <c r="BZ21" s="75">
        <v>0.13</v>
      </c>
      <c r="CA21" s="75">
        <v>0.25600000000000001</v>
      </c>
      <c r="CB21" s="77">
        <v>0.16</v>
      </c>
      <c r="CC21" s="77">
        <v>0.14000000000000001</v>
      </c>
      <c r="CD21" s="77">
        <f t="shared" si="27"/>
        <v>0.15000000000000002</v>
      </c>
      <c r="CE21" s="77">
        <v>14.234</v>
      </c>
      <c r="CF21" s="77">
        <v>13.23</v>
      </c>
      <c r="CG21" s="77">
        <f t="shared" si="28"/>
        <v>13.731999999999999</v>
      </c>
      <c r="CH21" s="75">
        <f t="shared" si="29"/>
        <v>0.38736248236953452</v>
      </c>
      <c r="CI21" s="75">
        <f t="shared" si="30"/>
        <v>0.29852132120000002</v>
      </c>
      <c r="CJ21" s="77">
        <v>0</v>
      </c>
      <c r="CK21" s="77">
        <v>0</v>
      </c>
      <c r="CL21" s="77">
        <f t="shared" si="31"/>
        <v>0</v>
      </c>
      <c r="CM21" s="77">
        <v>1.67</v>
      </c>
      <c r="CN21" s="77">
        <v>1.73</v>
      </c>
      <c r="CO21" s="77">
        <f t="shared" si="32"/>
        <v>1.7</v>
      </c>
      <c r="CP21" s="77">
        <v>2.754</v>
      </c>
      <c r="CQ21" s="77">
        <v>2.9969999999999999</v>
      </c>
      <c r="CR21" s="77">
        <f t="shared" si="33"/>
        <v>2.8754999999999997</v>
      </c>
      <c r="CS21" s="77">
        <v>12.455</v>
      </c>
      <c r="CT21" s="77">
        <v>12.340999999999999</v>
      </c>
      <c r="CU21" s="77">
        <f t="shared" si="34"/>
        <v>12.398</v>
      </c>
      <c r="CV21" s="201">
        <f t="shared" si="35"/>
        <v>0.25813033520716216</v>
      </c>
      <c r="CW21" s="202">
        <f t="shared" si="36"/>
        <v>0.33178411928085361</v>
      </c>
      <c r="CX21" s="202">
        <f t="shared" si="37"/>
        <v>4.3153244728435007</v>
      </c>
      <c r="CY21" s="202">
        <f t="shared" si="38"/>
        <v>8.1776742257186175E-2</v>
      </c>
      <c r="CZ21" s="202">
        <f t="shared" si="39"/>
        <v>2.1842703474722747</v>
      </c>
      <c r="DA21" s="202">
        <f t="shared" si="40"/>
        <v>2.4337837962471638</v>
      </c>
      <c r="DB21" s="202">
        <f t="shared" si="41"/>
        <v>0.89747920535931214</v>
      </c>
      <c r="DC21" s="203"/>
    </row>
    <row r="22" spans="1:107" ht="18" x14ac:dyDescent="0.3">
      <c r="A22" s="183" t="s">
        <v>532</v>
      </c>
      <c r="B22" s="74">
        <v>26.119166666666668</v>
      </c>
      <c r="C22" s="74">
        <v>91.797777777777782</v>
      </c>
      <c r="D22" s="74"/>
      <c r="E22" s="74"/>
      <c r="F22" s="190">
        <v>170</v>
      </c>
      <c r="G22" s="74"/>
      <c r="H22" s="74"/>
      <c r="I22" s="74"/>
      <c r="J22" s="74"/>
      <c r="K22" s="74"/>
      <c r="L22" s="74"/>
      <c r="M22" s="190">
        <v>150</v>
      </c>
      <c r="N22" s="74"/>
      <c r="O22" s="74"/>
      <c r="P22" s="74"/>
      <c r="Q22" s="207">
        <v>40</v>
      </c>
      <c r="R22" s="74"/>
      <c r="S22" s="74"/>
      <c r="T22" s="74"/>
      <c r="U22" s="207">
        <v>60</v>
      </c>
      <c r="V22" s="74"/>
      <c r="W22" s="74"/>
      <c r="X22" s="74"/>
      <c r="Y22" s="74"/>
      <c r="Z22" s="206">
        <v>180</v>
      </c>
      <c r="AA22" s="74">
        <v>7.9</v>
      </c>
      <c r="AB22" s="191">
        <v>21.34</v>
      </c>
      <c r="AC22" s="74">
        <v>0.4</v>
      </c>
      <c r="AD22" s="74">
        <v>202</v>
      </c>
      <c r="AE22" s="74">
        <v>-312</v>
      </c>
      <c r="AF22" s="192">
        <f t="shared" si="1"/>
        <v>-107</v>
      </c>
      <c r="AG22" s="193">
        <f t="shared" si="2"/>
        <v>-0.107</v>
      </c>
      <c r="AH22" s="74">
        <v>183</v>
      </c>
      <c r="AI22" s="74">
        <v>202</v>
      </c>
      <c r="AJ22" s="195">
        <v>0</v>
      </c>
      <c r="AK22" s="195">
        <v>0</v>
      </c>
      <c r="AL22" s="197">
        <f t="shared" si="3"/>
        <v>0</v>
      </c>
      <c r="AM22" s="197">
        <f t="shared" si="4"/>
        <v>0</v>
      </c>
      <c r="AN22" s="197">
        <v>25.298999999999999</v>
      </c>
      <c r="AO22" s="197">
        <v>0</v>
      </c>
      <c r="AP22" s="197">
        <f t="shared" si="5"/>
        <v>17.889094457238464</v>
      </c>
      <c r="AQ22" s="197">
        <f t="shared" si="6"/>
        <v>25.298999999999999</v>
      </c>
      <c r="AR22" s="208">
        <f t="shared" si="7"/>
        <v>12.6495</v>
      </c>
      <c r="AS22" s="198">
        <v>5.0000000000000001E-3</v>
      </c>
      <c r="AT22" s="198">
        <v>7.0000000000000001E-3</v>
      </c>
      <c r="AU22" s="198">
        <f t="shared" si="8"/>
        <v>1.414213562373095E-3</v>
      </c>
      <c r="AV22" s="198">
        <f t="shared" si="9"/>
        <v>6.0000000000000001E-3</v>
      </c>
      <c r="AW22" s="197">
        <v>14.756</v>
      </c>
      <c r="AX22" s="197">
        <v>14.353999999999999</v>
      </c>
      <c r="AY22" s="197">
        <f t="shared" si="10"/>
        <v>0.28425692603699282</v>
      </c>
      <c r="AZ22" s="197">
        <f t="shared" si="11"/>
        <v>14.555</v>
      </c>
      <c r="BA22" s="199">
        <f t="shared" si="12"/>
        <v>0.63310134841235322</v>
      </c>
      <c r="BB22" s="197">
        <v>2.1999999999999999E-2</v>
      </c>
      <c r="BC22" s="197">
        <v>1.4E-2</v>
      </c>
      <c r="BD22" s="197">
        <f t="shared" si="13"/>
        <v>5.6568542494923818E-3</v>
      </c>
      <c r="BE22" s="197">
        <f t="shared" si="14"/>
        <v>3.5999999999999997E-2</v>
      </c>
      <c r="BF22" s="197">
        <v>4.4969999999999999</v>
      </c>
      <c r="BG22" s="197">
        <v>4.3550000000000004</v>
      </c>
      <c r="BH22" s="197">
        <f t="shared" si="15"/>
        <v>0.10040916292848936</v>
      </c>
      <c r="BI22" s="200">
        <f t="shared" si="16"/>
        <v>4.4260000000000002</v>
      </c>
      <c r="BJ22" s="199">
        <f t="shared" si="17"/>
        <v>0.11345808766982826</v>
      </c>
      <c r="BK22" s="197">
        <v>24.471</v>
      </c>
      <c r="BL22" s="197">
        <v>23.751000000000001</v>
      </c>
      <c r="BM22" s="197">
        <f t="shared" si="18"/>
        <v>0.50911688245431341</v>
      </c>
      <c r="BN22" s="197">
        <f t="shared" si="19"/>
        <v>24.111000000000001</v>
      </c>
      <c r="BO22" s="77">
        <f t="shared" si="20"/>
        <v>1.2032037526822694</v>
      </c>
      <c r="BP22" s="77">
        <f t="shared" si="21"/>
        <v>0.52415144010000003</v>
      </c>
      <c r="BQ22" s="197">
        <v>2</v>
      </c>
      <c r="BR22" s="197">
        <v>0</v>
      </c>
      <c r="BS22" s="197">
        <f t="shared" si="22"/>
        <v>1.4142135623730951</v>
      </c>
      <c r="BT22" s="197">
        <f t="shared" si="23"/>
        <v>1</v>
      </c>
      <c r="BU22" s="199">
        <f t="shared" si="24"/>
        <v>8.2270670505964621E-2</v>
      </c>
      <c r="BV22" s="199">
        <f t="shared" si="25"/>
        <v>2.1739100000000001E-2</v>
      </c>
      <c r="BW22" s="196">
        <v>161.90476190476193</v>
      </c>
      <c r="BX22" s="196">
        <f t="shared" si="26"/>
        <v>2.6534456396396062</v>
      </c>
      <c r="BY22" s="196">
        <f t="shared" si="0"/>
        <v>3.5196638095238102</v>
      </c>
      <c r="BZ22" s="75">
        <v>0.15</v>
      </c>
      <c r="CA22" s="75">
        <v>0.27900000000000003</v>
      </c>
      <c r="CB22" s="77">
        <v>0.157</v>
      </c>
      <c r="CC22" s="77">
        <v>0.122</v>
      </c>
      <c r="CD22" s="77">
        <f t="shared" si="27"/>
        <v>0.13950000000000001</v>
      </c>
      <c r="CE22" s="77">
        <v>13.279</v>
      </c>
      <c r="CF22" s="77">
        <v>13.291</v>
      </c>
      <c r="CG22" s="77">
        <f t="shared" si="28"/>
        <v>13.285</v>
      </c>
      <c r="CH22" s="75">
        <f t="shared" si="29"/>
        <v>0.37475317348377996</v>
      </c>
      <c r="CI22" s="75">
        <f t="shared" si="30"/>
        <v>0.28880394349999999</v>
      </c>
      <c r="CJ22" s="77">
        <v>0</v>
      </c>
      <c r="CK22" s="77">
        <v>0</v>
      </c>
      <c r="CL22" s="77">
        <f t="shared" si="31"/>
        <v>0</v>
      </c>
      <c r="CM22" s="77">
        <v>1.587</v>
      </c>
      <c r="CN22" s="77">
        <v>1.43</v>
      </c>
      <c r="CO22" s="77">
        <f t="shared" si="32"/>
        <v>1.5085</v>
      </c>
      <c r="CP22" s="77">
        <v>1.7290000000000001</v>
      </c>
      <c r="CQ22" s="77">
        <v>1.6020000000000001</v>
      </c>
      <c r="CR22" s="77">
        <f t="shared" si="33"/>
        <v>1.6655000000000002</v>
      </c>
      <c r="CS22" s="77">
        <v>1.1020000000000001</v>
      </c>
      <c r="CT22" s="77">
        <v>1.0209999999999999</v>
      </c>
      <c r="CU22" s="77">
        <f t="shared" si="34"/>
        <v>1.0615000000000001</v>
      </c>
      <c r="CV22" s="201">
        <f t="shared" si="35"/>
        <v>2.2100770351863419E-2</v>
      </c>
      <c r="CW22" s="202">
        <f t="shared" si="36"/>
        <v>1.285474423188234</v>
      </c>
      <c r="CX22" s="202">
        <f t="shared" si="37"/>
        <v>2.6755464099914699</v>
      </c>
      <c r="CY22" s="202">
        <f t="shared" si="38"/>
        <v>0.48445477984724367</v>
      </c>
      <c r="CZ22" s="202">
        <f t="shared" si="39"/>
        <v>0.74655943608218145</v>
      </c>
      <c r="DA22" s="202">
        <f t="shared" si="40"/>
        <v>1.9497631887644509</v>
      </c>
      <c r="DB22" s="202">
        <f t="shared" si="41"/>
        <v>0.38289749256947975</v>
      </c>
      <c r="DC22" s="203"/>
    </row>
    <row r="23" spans="1:107" ht="15.6" x14ac:dyDescent="0.3">
      <c r="A23" s="183" t="s">
        <v>533</v>
      </c>
      <c r="B23" s="74">
        <v>26.119444444444444</v>
      </c>
      <c r="C23" s="74">
        <v>91.797777777777782</v>
      </c>
      <c r="D23" s="74"/>
      <c r="E23" s="74"/>
      <c r="F23" s="190">
        <v>40</v>
      </c>
      <c r="G23" s="74"/>
      <c r="H23" s="74"/>
      <c r="I23" s="74"/>
      <c r="J23" s="74"/>
      <c r="K23" s="74"/>
      <c r="L23" s="74"/>
      <c r="M23" s="190">
        <v>50</v>
      </c>
      <c r="N23" s="74"/>
      <c r="O23" s="74"/>
      <c r="P23" s="74"/>
      <c r="Q23" s="190">
        <v>8</v>
      </c>
      <c r="R23" s="74"/>
      <c r="S23" s="74"/>
      <c r="T23" s="74"/>
      <c r="U23" s="190">
        <v>10</v>
      </c>
      <c r="V23" s="74"/>
      <c r="W23" s="74"/>
      <c r="X23" s="74"/>
      <c r="Y23" s="74"/>
      <c r="Z23" s="206">
        <v>120</v>
      </c>
      <c r="AA23" s="74">
        <v>6.3</v>
      </c>
      <c r="AB23" s="191">
        <v>20.100000000000001</v>
      </c>
      <c r="AC23" s="74">
        <v>1.4</v>
      </c>
      <c r="AD23" s="74">
        <v>39</v>
      </c>
      <c r="AE23" s="74">
        <v>159</v>
      </c>
      <c r="AF23" s="192">
        <f t="shared" si="1"/>
        <v>364</v>
      </c>
      <c r="AG23" s="193">
        <f t="shared" si="2"/>
        <v>0.36399999999999999</v>
      </c>
      <c r="AH23" s="74">
        <v>47</v>
      </c>
      <c r="AI23" s="74">
        <v>39</v>
      </c>
      <c r="AJ23" s="195">
        <v>0</v>
      </c>
      <c r="AK23" s="195">
        <v>0</v>
      </c>
      <c r="AL23" s="197">
        <f t="shared" si="3"/>
        <v>0</v>
      </c>
      <c r="AM23" s="197">
        <f t="shared" si="4"/>
        <v>0</v>
      </c>
      <c r="AN23" s="197">
        <v>0</v>
      </c>
      <c r="AO23" s="197">
        <v>0</v>
      </c>
      <c r="AP23" s="197">
        <f t="shared" si="5"/>
        <v>0</v>
      </c>
      <c r="AQ23" s="197">
        <f t="shared" si="6"/>
        <v>0</v>
      </c>
      <c r="AR23" s="77">
        <f t="shared" si="7"/>
        <v>0</v>
      </c>
      <c r="AS23" s="209">
        <v>0</v>
      </c>
      <c r="AT23" s="209">
        <v>0</v>
      </c>
      <c r="AU23" s="198">
        <f t="shared" si="8"/>
        <v>0</v>
      </c>
      <c r="AV23" s="198">
        <f t="shared" si="9"/>
        <v>0</v>
      </c>
      <c r="AW23" s="197">
        <v>0</v>
      </c>
      <c r="AX23" s="197">
        <v>0</v>
      </c>
      <c r="AY23" s="197">
        <f t="shared" si="10"/>
        <v>0</v>
      </c>
      <c r="AZ23" s="197">
        <f t="shared" si="11"/>
        <v>0</v>
      </c>
      <c r="BA23" s="199">
        <f t="shared" si="12"/>
        <v>0</v>
      </c>
      <c r="BB23" s="197">
        <v>0</v>
      </c>
      <c r="BC23" s="197">
        <v>0</v>
      </c>
      <c r="BD23" s="197">
        <f t="shared" si="13"/>
        <v>0</v>
      </c>
      <c r="BE23" s="197">
        <f t="shared" si="14"/>
        <v>0</v>
      </c>
      <c r="BF23" s="197">
        <v>0</v>
      </c>
      <c r="BG23" s="197">
        <v>0</v>
      </c>
      <c r="BH23" s="197">
        <f t="shared" si="15"/>
        <v>0</v>
      </c>
      <c r="BI23" s="200">
        <f t="shared" si="16"/>
        <v>0</v>
      </c>
      <c r="BJ23" s="199">
        <f t="shared" si="17"/>
        <v>0</v>
      </c>
      <c r="BK23" s="197">
        <v>10</v>
      </c>
      <c r="BL23" s="197">
        <v>0</v>
      </c>
      <c r="BM23" s="197">
        <f t="shared" si="18"/>
        <v>7.0710678118654755</v>
      </c>
      <c r="BN23" s="197">
        <f t="shared" si="19"/>
        <v>5</v>
      </c>
      <c r="BO23" s="77">
        <f t="shared" si="20"/>
        <v>0.24951344877488896</v>
      </c>
      <c r="BP23" s="77">
        <f t="shared" si="21"/>
        <v>0.1086955</v>
      </c>
      <c r="BQ23" s="197">
        <v>1.7</v>
      </c>
      <c r="BR23" s="197">
        <v>0</v>
      </c>
      <c r="BS23" s="197">
        <f t="shared" si="22"/>
        <v>1.2020815280171306</v>
      </c>
      <c r="BT23" s="197">
        <f t="shared" si="23"/>
        <v>0.85</v>
      </c>
      <c r="BU23" s="199">
        <f t="shared" si="24"/>
        <v>6.9930069930069935E-2</v>
      </c>
      <c r="BV23" s="199">
        <f t="shared" si="25"/>
        <v>1.8478234999999999E-2</v>
      </c>
      <c r="BW23" s="196">
        <v>220.00000000000009</v>
      </c>
      <c r="BX23" s="196">
        <f t="shared" si="26"/>
        <v>3.605564369157348</v>
      </c>
      <c r="BY23" s="196">
        <f t="shared" si="0"/>
        <v>4.7826020000000025</v>
      </c>
      <c r="BZ23" s="75">
        <v>0.12</v>
      </c>
      <c r="CA23" s="75">
        <v>0.27400000000000002</v>
      </c>
      <c r="CB23" s="77">
        <v>0.80400000000000005</v>
      </c>
      <c r="CC23" s="77">
        <v>0.72099999999999997</v>
      </c>
      <c r="CD23" s="77">
        <f t="shared" si="27"/>
        <v>0.76249999999999996</v>
      </c>
      <c r="CE23" s="77">
        <v>27.324999999999999</v>
      </c>
      <c r="CF23" s="77">
        <v>26.391999999999999</v>
      </c>
      <c r="CG23" s="77">
        <f t="shared" si="28"/>
        <v>26.858499999999999</v>
      </c>
      <c r="CH23" s="75">
        <f t="shared" si="29"/>
        <v>0.75764456981664308</v>
      </c>
      <c r="CI23" s="75">
        <f t="shared" si="30"/>
        <v>0.58387961735000005</v>
      </c>
      <c r="CJ23" s="77">
        <v>7.2999999999999995E-2</v>
      </c>
      <c r="CK23" s="77">
        <v>6.3200000000000006E-2</v>
      </c>
      <c r="CL23" s="77">
        <f t="shared" si="31"/>
        <v>6.8099999999999994E-2</v>
      </c>
      <c r="CM23" s="77">
        <v>29.02</v>
      </c>
      <c r="CN23" s="77">
        <v>28.242999999999999</v>
      </c>
      <c r="CO23" s="77">
        <f t="shared" si="32"/>
        <v>28.631499999999999</v>
      </c>
      <c r="CP23" s="77">
        <v>2.5</v>
      </c>
      <c r="CQ23" s="77">
        <v>2.0190000000000001</v>
      </c>
      <c r="CR23" s="77">
        <f t="shared" si="33"/>
        <v>2.2595000000000001</v>
      </c>
      <c r="CS23" s="77">
        <v>0</v>
      </c>
      <c r="CT23" s="77">
        <v>0</v>
      </c>
      <c r="CU23" s="77">
        <f t="shared" si="34"/>
        <v>0</v>
      </c>
      <c r="CV23" s="201">
        <f t="shared" si="35"/>
        <v>0</v>
      </c>
      <c r="CW23" s="202">
        <f t="shared" si="36"/>
        <v>0.31944351870495891</v>
      </c>
      <c r="CX23" s="202">
        <f t="shared" si="37"/>
        <v>3.605564369157348</v>
      </c>
      <c r="CY23" s="202">
        <f t="shared" si="38"/>
        <v>8.8597369509621507E-2</v>
      </c>
      <c r="CZ23" s="202">
        <f t="shared" si="39"/>
        <v>0</v>
      </c>
      <c r="DA23" s="202">
        <f t="shared" si="40"/>
        <v>0.24951344877488896</v>
      </c>
      <c r="DB23" s="202">
        <f t="shared" si="41"/>
        <v>0</v>
      </c>
      <c r="DC23" s="203"/>
    </row>
    <row r="24" spans="1:107" ht="18" x14ac:dyDescent="0.3">
      <c r="A24" s="183" t="s">
        <v>534</v>
      </c>
      <c r="B24" s="74">
        <v>26.126944444444444</v>
      </c>
      <c r="C24" s="74">
        <v>91.803333333333327</v>
      </c>
      <c r="D24" s="74"/>
      <c r="E24" s="74"/>
      <c r="F24" s="190">
        <v>270</v>
      </c>
      <c r="G24" s="74"/>
      <c r="H24" s="74"/>
      <c r="I24" s="74"/>
      <c r="J24" s="74"/>
      <c r="K24" s="74"/>
      <c r="L24" s="74"/>
      <c r="M24" s="190">
        <v>260</v>
      </c>
      <c r="N24" s="74"/>
      <c r="O24" s="74"/>
      <c r="P24" s="74"/>
      <c r="Q24" s="207">
        <v>100</v>
      </c>
      <c r="R24" s="74"/>
      <c r="S24" s="74"/>
      <c r="T24" s="74"/>
      <c r="U24" s="207">
        <v>120</v>
      </c>
      <c r="V24" s="74"/>
      <c r="W24" s="74"/>
      <c r="X24" s="74"/>
      <c r="Y24" s="74"/>
      <c r="Z24" s="206">
        <v>160</v>
      </c>
      <c r="AA24" s="74">
        <v>8.6999999999999993</v>
      </c>
      <c r="AB24" s="191">
        <v>20.2</v>
      </c>
      <c r="AC24" s="74">
        <v>0.2</v>
      </c>
      <c r="AD24" s="74">
        <v>321</v>
      </c>
      <c r="AE24" s="74">
        <v>-391</v>
      </c>
      <c r="AF24" s="192">
        <f t="shared" si="1"/>
        <v>-186</v>
      </c>
      <c r="AG24" s="193">
        <f t="shared" si="2"/>
        <v>-0.186</v>
      </c>
      <c r="AH24" s="74">
        <v>177</v>
      </c>
      <c r="AI24" s="74">
        <v>321</v>
      </c>
      <c r="AJ24" s="195">
        <v>0</v>
      </c>
      <c r="AK24" s="195">
        <v>0</v>
      </c>
      <c r="AL24" s="197">
        <f t="shared" si="3"/>
        <v>0</v>
      </c>
      <c r="AM24" s="197">
        <f t="shared" si="4"/>
        <v>0</v>
      </c>
      <c r="AN24" s="197">
        <v>54.816000000000003</v>
      </c>
      <c r="AO24" s="197">
        <v>0</v>
      </c>
      <c r="AP24" s="197">
        <f t="shared" si="5"/>
        <v>38.760765317521788</v>
      </c>
      <c r="AQ24" s="197">
        <f t="shared" si="6"/>
        <v>54.816000000000003</v>
      </c>
      <c r="AR24" s="208">
        <f t="shared" si="7"/>
        <v>27.408000000000001</v>
      </c>
      <c r="AS24" s="198">
        <v>1.2999999999999999E-2</v>
      </c>
      <c r="AT24" s="198">
        <v>1.2999999999999999E-2</v>
      </c>
      <c r="AU24" s="198">
        <f t="shared" si="8"/>
        <v>0</v>
      </c>
      <c r="AV24" s="198">
        <f t="shared" si="9"/>
        <v>1.2999999999999999E-2</v>
      </c>
      <c r="AW24" s="197">
        <v>90.954999999999998</v>
      </c>
      <c r="AX24" s="197">
        <v>0</v>
      </c>
      <c r="AY24" s="197">
        <f t="shared" si="10"/>
        <v>64.314897282822429</v>
      </c>
      <c r="AZ24" s="197">
        <f t="shared" si="11"/>
        <v>45.477499999999999</v>
      </c>
      <c r="BA24" s="199">
        <f t="shared" si="12"/>
        <v>1.9781426707264029</v>
      </c>
      <c r="BB24" s="197">
        <v>3.1E-2</v>
      </c>
      <c r="BC24" s="197">
        <v>2.5999999999999999E-2</v>
      </c>
      <c r="BD24" s="197">
        <f t="shared" si="13"/>
        <v>3.5355339059327385E-3</v>
      </c>
      <c r="BE24" s="197">
        <f t="shared" si="14"/>
        <v>5.6999999999999995E-2</v>
      </c>
      <c r="BF24" s="197">
        <v>17.151</v>
      </c>
      <c r="BG24" s="197">
        <v>16.431000000000001</v>
      </c>
      <c r="BH24" s="197">
        <f t="shared" si="15"/>
        <v>0.50911688245431341</v>
      </c>
      <c r="BI24" s="200">
        <f t="shared" si="16"/>
        <v>16.791</v>
      </c>
      <c r="BJ24" s="199">
        <f t="shared" si="17"/>
        <v>0.43042809536016408</v>
      </c>
      <c r="BK24" s="197">
        <v>9</v>
      </c>
      <c r="BL24" s="197">
        <v>0</v>
      </c>
      <c r="BM24" s="197">
        <f t="shared" si="18"/>
        <v>6.3639610306789276</v>
      </c>
      <c r="BN24" s="197">
        <f t="shared" si="19"/>
        <v>4.5</v>
      </c>
      <c r="BO24" s="77">
        <f t="shared" si="20"/>
        <v>0.22456210389740006</v>
      </c>
      <c r="BP24" s="77">
        <f t="shared" si="21"/>
        <v>9.7825950000000009E-2</v>
      </c>
      <c r="BQ24" s="197">
        <v>0.89400000000000002</v>
      </c>
      <c r="BR24" s="197">
        <v>0</v>
      </c>
      <c r="BS24" s="197">
        <f t="shared" si="22"/>
        <v>0.63215346238077352</v>
      </c>
      <c r="BT24" s="197">
        <f t="shared" si="23"/>
        <v>0.44700000000000001</v>
      </c>
      <c r="BU24" s="199">
        <f t="shared" si="24"/>
        <v>3.677498971616619E-2</v>
      </c>
      <c r="BV24" s="199">
        <f t="shared" si="25"/>
        <v>9.7173776999999999E-3</v>
      </c>
      <c r="BW24" s="196">
        <v>268</v>
      </c>
      <c r="BX24" s="196">
        <f t="shared" si="26"/>
        <v>4.3922329587916771</v>
      </c>
      <c r="BY24" s="196">
        <f t="shared" si="0"/>
        <v>5.8260788000000003</v>
      </c>
      <c r="BZ24" s="75">
        <v>0.17</v>
      </c>
      <c r="CA24" s="75">
        <v>0.28399999999999997</v>
      </c>
      <c r="CB24" s="77">
        <v>0.72699999999999998</v>
      </c>
      <c r="CC24" s="77">
        <v>0.63200000000000001</v>
      </c>
      <c r="CD24" s="77">
        <f t="shared" si="27"/>
        <v>0.67949999999999999</v>
      </c>
      <c r="CE24" s="77">
        <v>105.68</v>
      </c>
      <c r="CF24" s="77">
        <v>104.32</v>
      </c>
      <c r="CG24" s="77">
        <f t="shared" si="28"/>
        <v>105</v>
      </c>
      <c r="CH24" s="75">
        <f t="shared" si="29"/>
        <v>2.9619181946403383</v>
      </c>
      <c r="CI24" s="75">
        <f t="shared" si="30"/>
        <v>2.2826055000000003</v>
      </c>
      <c r="CJ24" s="77">
        <v>9.9000000000000005E-2</v>
      </c>
      <c r="CK24" s="77">
        <v>0.10100000000000001</v>
      </c>
      <c r="CL24" s="77">
        <f t="shared" si="31"/>
        <v>0.1</v>
      </c>
      <c r="CM24" s="77">
        <v>19.533000000000001</v>
      </c>
      <c r="CN24" s="77">
        <v>19.721</v>
      </c>
      <c r="CO24" s="77">
        <f t="shared" si="32"/>
        <v>19.627000000000002</v>
      </c>
      <c r="CP24" s="77">
        <v>10.835000000000001</v>
      </c>
      <c r="CQ24" s="77">
        <v>11.329000000000001</v>
      </c>
      <c r="CR24" s="77">
        <f t="shared" si="33"/>
        <v>11.082000000000001</v>
      </c>
      <c r="CS24" s="77">
        <v>0</v>
      </c>
      <c r="CT24" s="77">
        <v>0</v>
      </c>
      <c r="CU24" s="77">
        <f t="shared" si="34"/>
        <v>0</v>
      </c>
      <c r="CV24" s="201">
        <f t="shared" si="35"/>
        <v>0</v>
      </c>
      <c r="CW24" s="202">
        <f t="shared" si="36"/>
        <v>0.26133709361356627</v>
      </c>
      <c r="CX24" s="202">
        <f t="shared" si="37"/>
        <v>4.3922329587916771</v>
      </c>
      <c r="CY24" s="202">
        <f t="shared" si="38"/>
        <v>5.9499825274627799E-2</v>
      </c>
      <c r="CZ24" s="202">
        <f t="shared" si="39"/>
        <v>2.4085707660865672</v>
      </c>
      <c r="DA24" s="202">
        <f t="shared" si="40"/>
        <v>2.6331328699839673</v>
      </c>
      <c r="DB24" s="202">
        <f t="shared" si="41"/>
        <v>0.9147167594703387</v>
      </c>
      <c r="DC24" s="203"/>
    </row>
    <row r="25" spans="1:107" ht="18" x14ac:dyDescent="0.3">
      <c r="A25" s="183" t="s">
        <v>535</v>
      </c>
      <c r="B25" s="74">
        <v>26.126666666666669</v>
      </c>
      <c r="C25" s="74">
        <v>91.803333333333327</v>
      </c>
      <c r="D25" s="74"/>
      <c r="E25" s="74"/>
      <c r="F25" s="190">
        <v>360</v>
      </c>
      <c r="G25" s="74"/>
      <c r="H25" s="74"/>
      <c r="I25" s="74"/>
      <c r="J25" s="74"/>
      <c r="K25" s="74"/>
      <c r="L25" s="74"/>
      <c r="M25" s="190">
        <v>350</v>
      </c>
      <c r="N25" s="74"/>
      <c r="O25" s="74"/>
      <c r="P25" s="74"/>
      <c r="Q25" s="207">
        <v>120</v>
      </c>
      <c r="R25" s="74"/>
      <c r="S25" s="74"/>
      <c r="T25" s="74"/>
      <c r="U25" s="207">
        <v>130</v>
      </c>
      <c r="V25" s="74"/>
      <c r="W25" s="74"/>
      <c r="X25" s="74"/>
      <c r="Y25" s="74"/>
      <c r="Z25" s="206">
        <v>180</v>
      </c>
      <c r="AA25" s="74">
        <v>8.1999999999999993</v>
      </c>
      <c r="AB25" s="191">
        <v>20.8</v>
      </c>
      <c r="AC25" s="74">
        <v>0.4</v>
      </c>
      <c r="AD25" s="74">
        <v>326</v>
      </c>
      <c r="AE25" s="74">
        <v>-322</v>
      </c>
      <c r="AF25" s="192">
        <f t="shared" si="1"/>
        <v>-117</v>
      </c>
      <c r="AG25" s="193">
        <f t="shared" si="2"/>
        <v>-0.11700000000000001</v>
      </c>
      <c r="AH25" s="74">
        <v>288</v>
      </c>
      <c r="AI25" s="74">
        <v>326</v>
      </c>
      <c r="AJ25" s="195">
        <v>0</v>
      </c>
      <c r="AK25" s="195">
        <v>0</v>
      </c>
      <c r="AL25" s="197">
        <f t="shared" si="3"/>
        <v>0</v>
      </c>
      <c r="AM25" s="197">
        <f t="shared" si="4"/>
        <v>0</v>
      </c>
      <c r="AN25" s="197">
        <v>40.865000000000002</v>
      </c>
      <c r="AO25" s="197">
        <v>0</v>
      </c>
      <c r="AP25" s="197">
        <f t="shared" si="5"/>
        <v>28.895918613188265</v>
      </c>
      <c r="AQ25" s="197">
        <f t="shared" si="6"/>
        <v>40.865000000000002</v>
      </c>
      <c r="AR25" s="208">
        <f t="shared" si="7"/>
        <v>20.432500000000001</v>
      </c>
      <c r="AS25" s="198">
        <v>1.4999999999999999E-2</v>
      </c>
      <c r="AT25" s="198">
        <v>4.2000000000000003E-2</v>
      </c>
      <c r="AU25" s="198">
        <f t="shared" si="8"/>
        <v>1.9091883092036788E-2</v>
      </c>
      <c r="AV25" s="198">
        <f t="shared" si="9"/>
        <v>2.8500000000000001E-2</v>
      </c>
      <c r="AW25" s="197">
        <v>44.152999999999999</v>
      </c>
      <c r="AX25" s="197">
        <v>44.011000000000003</v>
      </c>
      <c r="AY25" s="197">
        <f t="shared" si="10"/>
        <v>0.10040916292848685</v>
      </c>
      <c r="AZ25" s="197">
        <f t="shared" si="11"/>
        <v>44.082000000000001</v>
      </c>
      <c r="BA25" s="199">
        <f t="shared" si="12"/>
        <v>1.9174423662461941</v>
      </c>
      <c r="BB25" s="197">
        <v>2.5000000000000001E-2</v>
      </c>
      <c r="BC25" s="197">
        <v>2.3E-2</v>
      </c>
      <c r="BD25" s="197">
        <f t="shared" si="13"/>
        <v>1.4142135623730963E-3</v>
      </c>
      <c r="BE25" s="197">
        <f t="shared" si="14"/>
        <v>4.8000000000000001E-2</v>
      </c>
      <c r="BF25" s="197">
        <v>2.7330000000000001</v>
      </c>
      <c r="BG25" s="197">
        <v>2.7429999999999999</v>
      </c>
      <c r="BH25" s="197">
        <f t="shared" si="15"/>
        <v>7.0710678118653244E-3</v>
      </c>
      <c r="BI25" s="200">
        <f t="shared" si="16"/>
        <v>2.738</v>
      </c>
      <c r="BJ25" s="199">
        <f t="shared" si="17"/>
        <v>7.0187131504742373E-2</v>
      </c>
      <c r="BK25" s="197">
        <v>25.190999999999999</v>
      </c>
      <c r="BL25" s="197">
        <v>25.544</v>
      </c>
      <c r="BM25" s="197">
        <f t="shared" si="18"/>
        <v>0.24960869375885236</v>
      </c>
      <c r="BN25" s="197">
        <f t="shared" si="19"/>
        <v>25.3675</v>
      </c>
      <c r="BO25" s="77">
        <f t="shared" si="20"/>
        <v>1.2659064823593991</v>
      </c>
      <c r="BP25" s="77">
        <f t="shared" si="21"/>
        <v>0.55146661925000007</v>
      </c>
      <c r="BQ25" s="197">
        <v>1.804</v>
      </c>
      <c r="BR25" s="197">
        <v>1.0920000000000001</v>
      </c>
      <c r="BS25" s="197">
        <f t="shared" si="22"/>
        <v>0.50346002820482216</v>
      </c>
      <c r="BT25" s="197">
        <f t="shared" si="23"/>
        <v>1.448</v>
      </c>
      <c r="BU25" s="199">
        <f t="shared" si="24"/>
        <v>0.11912793089263678</v>
      </c>
      <c r="BV25" s="199">
        <f t="shared" si="25"/>
        <v>3.14782168E-2</v>
      </c>
      <c r="BW25" s="196">
        <v>208.00000000000003</v>
      </c>
      <c r="BX25" s="196">
        <f t="shared" si="26"/>
        <v>3.4088972217487647</v>
      </c>
      <c r="BY25" s="196">
        <f t="shared" si="0"/>
        <v>4.5217328000000006</v>
      </c>
      <c r="BZ25" s="75">
        <v>0.13</v>
      </c>
      <c r="CA25" s="75">
        <v>0.27600000000000002</v>
      </c>
      <c r="CB25" s="77">
        <v>1.6</v>
      </c>
      <c r="CC25" s="77">
        <v>1.5720000000000001</v>
      </c>
      <c r="CD25" s="77">
        <f t="shared" si="27"/>
        <v>1.5860000000000001</v>
      </c>
      <c r="CE25" s="77">
        <v>7.8630000000000004</v>
      </c>
      <c r="CF25" s="77">
        <v>8.7859999999999996</v>
      </c>
      <c r="CG25" s="77">
        <f t="shared" si="28"/>
        <v>8.3245000000000005</v>
      </c>
      <c r="CH25" s="75">
        <f t="shared" si="29"/>
        <v>0.23482369534555711</v>
      </c>
      <c r="CI25" s="75">
        <f t="shared" si="30"/>
        <v>0.18096713795000002</v>
      </c>
      <c r="CJ25" s="77">
        <v>0</v>
      </c>
      <c r="CK25" s="77">
        <v>0</v>
      </c>
      <c r="CL25" s="77">
        <f t="shared" si="31"/>
        <v>0</v>
      </c>
      <c r="CM25" s="77">
        <v>5.5E-2</v>
      </c>
      <c r="CN25" s="77">
        <v>0</v>
      </c>
      <c r="CO25" s="77">
        <f t="shared" si="32"/>
        <v>2.75E-2</v>
      </c>
      <c r="CP25" s="77">
        <v>0.58099999999999996</v>
      </c>
      <c r="CQ25" s="77">
        <v>0</v>
      </c>
      <c r="CR25" s="77">
        <f t="shared" si="33"/>
        <v>0.29049999999999998</v>
      </c>
      <c r="CS25" s="77">
        <v>0</v>
      </c>
      <c r="CT25" s="77">
        <v>2.5369999999999999</v>
      </c>
      <c r="CU25" s="77">
        <f t="shared" si="34"/>
        <v>1.2685</v>
      </c>
      <c r="CV25" s="201">
        <f t="shared" si="35"/>
        <v>2.6410576722881531E-2</v>
      </c>
      <c r="CW25" s="202">
        <f t="shared" si="36"/>
        <v>1.3850344132520358</v>
      </c>
      <c r="CX25" s="202">
        <f t="shared" si="37"/>
        <v>3.4353077984716465</v>
      </c>
      <c r="CY25" s="202">
        <f t="shared" si="38"/>
        <v>0.40629984512748463</v>
      </c>
      <c r="CZ25" s="202">
        <f t="shared" si="39"/>
        <v>1.9876294977509366</v>
      </c>
      <c r="DA25" s="202">
        <f t="shared" si="40"/>
        <v>3.2535359801103354</v>
      </c>
      <c r="DB25" s="202">
        <f t="shared" si="41"/>
        <v>0.61091363670228449</v>
      </c>
      <c r="DC25" s="203"/>
    </row>
    <row r="26" spans="1:107" ht="18" x14ac:dyDescent="0.3">
      <c r="A26" s="183" t="s">
        <v>536</v>
      </c>
      <c r="B26" s="74">
        <v>26.130833333333335</v>
      </c>
      <c r="C26" s="74">
        <v>91.773611111111109</v>
      </c>
      <c r="D26" s="74"/>
      <c r="E26" s="74"/>
      <c r="F26" s="190">
        <v>440</v>
      </c>
      <c r="G26" s="74"/>
      <c r="H26" s="74"/>
      <c r="I26" s="74"/>
      <c r="J26" s="74"/>
      <c r="K26" s="74"/>
      <c r="L26" s="74"/>
      <c r="M26" s="190">
        <v>430</v>
      </c>
      <c r="N26" s="74"/>
      <c r="O26" s="74"/>
      <c r="P26" s="74"/>
      <c r="Q26" s="207">
        <v>140</v>
      </c>
      <c r="R26" s="74"/>
      <c r="S26" s="74"/>
      <c r="T26" s="74"/>
      <c r="U26" s="207">
        <v>170</v>
      </c>
      <c r="V26" s="74"/>
      <c r="W26" s="74"/>
      <c r="X26" s="74"/>
      <c r="Y26" s="74"/>
      <c r="Z26" s="206">
        <v>120</v>
      </c>
      <c r="AA26" s="74">
        <v>8.9</v>
      </c>
      <c r="AB26" s="191">
        <v>21.4</v>
      </c>
      <c r="AC26" s="74">
        <v>0.3</v>
      </c>
      <c r="AD26" s="74">
        <v>395</v>
      </c>
      <c r="AE26" s="74">
        <v>-343</v>
      </c>
      <c r="AF26" s="192">
        <f t="shared" si="1"/>
        <v>-138</v>
      </c>
      <c r="AG26" s="193">
        <f t="shared" si="2"/>
        <v>-0.13800000000000001</v>
      </c>
      <c r="AH26" s="74">
        <v>203</v>
      </c>
      <c r="AI26" s="74">
        <v>395</v>
      </c>
      <c r="AJ26" s="195">
        <v>0</v>
      </c>
      <c r="AK26" s="195">
        <v>0</v>
      </c>
      <c r="AL26" s="197">
        <f t="shared" si="3"/>
        <v>0</v>
      </c>
      <c r="AM26" s="197">
        <f t="shared" si="4"/>
        <v>0</v>
      </c>
      <c r="AN26" s="197">
        <v>23.91</v>
      </c>
      <c r="AO26" s="197">
        <v>0</v>
      </c>
      <c r="AP26" s="197">
        <f t="shared" si="5"/>
        <v>16.906923138170352</v>
      </c>
      <c r="AQ26" s="197">
        <f t="shared" si="6"/>
        <v>23.91</v>
      </c>
      <c r="AR26" s="208">
        <f t="shared" si="7"/>
        <v>11.955</v>
      </c>
      <c r="AS26" s="198">
        <v>2.9000000000000001E-2</v>
      </c>
      <c r="AT26" s="198">
        <v>2.8000000000000001E-2</v>
      </c>
      <c r="AU26" s="198">
        <f t="shared" si="8"/>
        <v>7.0710678118654816E-4</v>
      </c>
      <c r="AV26" s="198">
        <f t="shared" si="9"/>
        <v>2.8500000000000001E-2</v>
      </c>
      <c r="AW26" s="197">
        <v>89.045000000000002</v>
      </c>
      <c r="AX26" s="197">
        <v>86.488</v>
      </c>
      <c r="AY26" s="197">
        <f t="shared" si="10"/>
        <v>1.8080720394940035</v>
      </c>
      <c r="AZ26" s="197">
        <f t="shared" si="11"/>
        <v>87.766500000000008</v>
      </c>
      <c r="BA26" s="199">
        <f t="shared" si="12"/>
        <v>3.8175946063505877</v>
      </c>
      <c r="BB26" s="197">
        <v>3.2000000000000001E-2</v>
      </c>
      <c r="BC26" s="197">
        <v>0.03</v>
      </c>
      <c r="BD26" s="197">
        <f t="shared" si="13"/>
        <v>1.4142135623730963E-3</v>
      </c>
      <c r="BE26" s="197">
        <f t="shared" si="14"/>
        <v>6.2E-2</v>
      </c>
      <c r="BF26" s="197">
        <v>1.67</v>
      </c>
      <c r="BG26" s="197">
        <v>1.6679999999999999</v>
      </c>
      <c r="BH26" s="197">
        <f t="shared" si="15"/>
        <v>1.4142135623730963E-3</v>
      </c>
      <c r="BI26" s="200">
        <f t="shared" si="16"/>
        <v>1.669</v>
      </c>
      <c r="BJ26" s="199">
        <f t="shared" si="17"/>
        <v>4.2783901563701619E-2</v>
      </c>
      <c r="BK26" s="197">
        <v>29.786000000000001</v>
      </c>
      <c r="BL26" s="197">
        <v>28.995000000000001</v>
      </c>
      <c r="BM26" s="197">
        <f t="shared" si="18"/>
        <v>0.55932146391855941</v>
      </c>
      <c r="BN26" s="197">
        <f t="shared" si="19"/>
        <v>29.390500000000003</v>
      </c>
      <c r="BO26" s="77">
        <f t="shared" si="20"/>
        <v>1.4666650032436748</v>
      </c>
      <c r="BP26" s="77">
        <f t="shared" si="21"/>
        <v>0.63892301855000011</v>
      </c>
      <c r="BQ26" s="197">
        <v>2.4220000000000002</v>
      </c>
      <c r="BR26" s="197">
        <v>0</v>
      </c>
      <c r="BS26" s="197">
        <f t="shared" si="22"/>
        <v>1.7126126240338182</v>
      </c>
      <c r="BT26" s="197">
        <f t="shared" si="23"/>
        <v>1.2110000000000001</v>
      </c>
      <c r="BU26" s="199">
        <f t="shared" si="24"/>
        <v>9.9629781982723167E-2</v>
      </c>
      <c r="BV26" s="199">
        <f t="shared" si="25"/>
        <v>2.6326050100000001E-2</v>
      </c>
      <c r="BW26" s="196">
        <v>194.00000000000009</v>
      </c>
      <c r="BX26" s="196">
        <f t="shared" si="26"/>
        <v>3.1794522164387526</v>
      </c>
      <c r="BY26" s="196">
        <f t="shared" si="0"/>
        <v>4.2173854000000022</v>
      </c>
      <c r="BZ26" s="75">
        <v>0.19</v>
      </c>
      <c r="CA26" s="75">
        <v>0.3</v>
      </c>
      <c r="CB26" s="77">
        <v>5.2690000000000001</v>
      </c>
      <c r="CC26" s="77">
        <v>5.3410000000000002</v>
      </c>
      <c r="CD26" s="77">
        <f t="shared" si="27"/>
        <v>5.3049999999999997</v>
      </c>
      <c r="CE26" s="77">
        <v>46.767000000000003</v>
      </c>
      <c r="CF26" s="77">
        <v>45.832000000000001</v>
      </c>
      <c r="CG26" s="77">
        <f t="shared" si="28"/>
        <v>46.299500000000002</v>
      </c>
      <c r="CH26" s="75">
        <f t="shared" si="29"/>
        <v>1.3060507757404796</v>
      </c>
      <c r="CI26" s="75">
        <f t="shared" si="30"/>
        <v>1.00650946045</v>
      </c>
      <c r="CJ26" s="77">
        <v>0</v>
      </c>
      <c r="CK26" s="77">
        <v>0</v>
      </c>
      <c r="CL26" s="77">
        <f t="shared" si="31"/>
        <v>0</v>
      </c>
      <c r="CM26" s="77">
        <v>10.223000000000001</v>
      </c>
      <c r="CN26" s="77">
        <v>11.821</v>
      </c>
      <c r="CO26" s="77">
        <f t="shared" si="32"/>
        <v>11.022</v>
      </c>
      <c r="CP26" s="77">
        <v>12.351000000000001</v>
      </c>
      <c r="CQ26" s="77">
        <v>12.632</v>
      </c>
      <c r="CR26" s="77">
        <f t="shared" si="33"/>
        <v>12.4915</v>
      </c>
      <c r="CS26" s="77">
        <v>0</v>
      </c>
      <c r="CT26" s="77">
        <v>0</v>
      </c>
      <c r="CU26" s="77">
        <f t="shared" si="34"/>
        <v>0</v>
      </c>
      <c r="CV26" s="201">
        <f t="shared" si="35"/>
        <v>0</v>
      </c>
      <c r="CW26" s="202">
        <f t="shared" si="36"/>
        <v>1.566294785226398</v>
      </c>
      <c r="CX26" s="202">
        <f t="shared" si="37"/>
        <v>3.1794522164387526</v>
      </c>
      <c r="CY26" s="202">
        <f t="shared" si="38"/>
        <v>0.49263038995464969</v>
      </c>
      <c r="CZ26" s="202">
        <f t="shared" si="39"/>
        <v>3.8603785079142892</v>
      </c>
      <c r="DA26" s="202">
        <f t="shared" si="40"/>
        <v>5.3270435111579637</v>
      </c>
      <c r="DB26" s="202">
        <f t="shared" si="41"/>
        <v>0.72467561036968908</v>
      </c>
      <c r="DC26" s="203"/>
    </row>
    <row r="27" spans="1:107" ht="18" x14ac:dyDescent="0.3">
      <c r="A27" s="183" t="s">
        <v>537</v>
      </c>
      <c r="B27" s="74">
        <v>26.132777777777779</v>
      </c>
      <c r="C27" s="74">
        <v>91.773611111111109</v>
      </c>
      <c r="D27" s="74"/>
      <c r="E27" s="74"/>
      <c r="F27" s="190">
        <v>320</v>
      </c>
      <c r="G27" s="74"/>
      <c r="H27" s="74"/>
      <c r="I27" s="74"/>
      <c r="J27" s="74"/>
      <c r="K27" s="74"/>
      <c r="L27" s="74"/>
      <c r="M27" s="190">
        <v>300</v>
      </c>
      <c r="N27" s="74"/>
      <c r="O27" s="74"/>
      <c r="P27" s="74"/>
      <c r="Q27" s="207">
        <v>120</v>
      </c>
      <c r="R27" s="74"/>
      <c r="S27" s="74"/>
      <c r="T27" s="74"/>
      <c r="U27" s="207">
        <v>110</v>
      </c>
      <c r="V27" s="74"/>
      <c r="W27" s="74"/>
      <c r="X27" s="74"/>
      <c r="Y27" s="74"/>
      <c r="Z27" s="206">
        <v>80</v>
      </c>
      <c r="AA27" s="74">
        <v>9.3000000000000007</v>
      </c>
      <c r="AB27" s="191">
        <v>24.3</v>
      </c>
      <c r="AC27" s="210">
        <v>0.4</v>
      </c>
      <c r="AD27" s="210">
        <v>224</v>
      </c>
      <c r="AE27" s="210">
        <v>-374</v>
      </c>
      <c r="AF27" s="192">
        <f t="shared" si="1"/>
        <v>-169</v>
      </c>
      <c r="AG27" s="193">
        <f t="shared" si="2"/>
        <v>-0.16900000000000001</v>
      </c>
      <c r="AH27" s="210">
        <v>172</v>
      </c>
      <c r="AI27" s="210">
        <v>224</v>
      </c>
      <c r="AJ27" s="195">
        <v>0</v>
      </c>
      <c r="AK27" s="195">
        <v>0</v>
      </c>
      <c r="AL27" s="197">
        <f t="shared" si="3"/>
        <v>0</v>
      </c>
      <c r="AM27" s="197">
        <f t="shared" si="4"/>
        <v>0</v>
      </c>
      <c r="AN27" s="197">
        <v>51.095999999999997</v>
      </c>
      <c r="AO27" s="197">
        <v>0</v>
      </c>
      <c r="AP27" s="197">
        <f t="shared" si="5"/>
        <v>36.130328091507835</v>
      </c>
      <c r="AQ27" s="197">
        <f t="shared" si="6"/>
        <v>51.095999999999997</v>
      </c>
      <c r="AR27" s="208">
        <f t="shared" si="7"/>
        <v>25.547999999999998</v>
      </c>
      <c r="AS27" s="198">
        <v>4.0000000000000001E-3</v>
      </c>
      <c r="AT27" s="198">
        <v>6.0000000000000001E-3</v>
      </c>
      <c r="AU27" s="198">
        <f t="shared" si="8"/>
        <v>1.414213562373095E-3</v>
      </c>
      <c r="AV27" s="198">
        <f t="shared" si="9"/>
        <v>5.0000000000000001E-3</v>
      </c>
      <c r="AW27" s="197">
        <v>82.966999999999999</v>
      </c>
      <c r="AX27" s="197">
        <v>78.183000000000007</v>
      </c>
      <c r="AY27" s="197">
        <f t="shared" si="10"/>
        <v>3.3827988411964376</v>
      </c>
      <c r="AZ27" s="197">
        <f t="shared" si="11"/>
        <v>80.575000000000003</v>
      </c>
      <c r="BA27" s="199">
        <f t="shared" si="12"/>
        <v>3.5047846889952159</v>
      </c>
      <c r="BB27" s="197">
        <v>3.4000000000000002E-2</v>
      </c>
      <c r="BC27" s="197">
        <v>2.1999999999999999E-2</v>
      </c>
      <c r="BD27" s="197">
        <f t="shared" si="13"/>
        <v>8.4852813742385576E-3</v>
      </c>
      <c r="BE27" s="197">
        <f t="shared" si="14"/>
        <v>5.6000000000000001E-2</v>
      </c>
      <c r="BF27" s="197">
        <v>7.1680000000000001</v>
      </c>
      <c r="BG27" s="197">
        <v>6.6980000000000004</v>
      </c>
      <c r="BH27" s="197">
        <f t="shared" si="15"/>
        <v>0.33234018715767716</v>
      </c>
      <c r="BI27" s="200">
        <f t="shared" si="16"/>
        <v>6.9329999999999998</v>
      </c>
      <c r="BJ27" s="199">
        <f t="shared" si="17"/>
        <v>0.17772366059984621</v>
      </c>
      <c r="BK27" s="197">
        <v>36.585999999999999</v>
      </c>
      <c r="BL27" s="197">
        <v>34.658000000000001</v>
      </c>
      <c r="BM27" s="197">
        <f t="shared" si="18"/>
        <v>1.3633018741276617</v>
      </c>
      <c r="BN27" s="197">
        <f t="shared" si="19"/>
        <v>35.622</v>
      </c>
      <c r="BO27" s="77">
        <f t="shared" si="20"/>
        <v>1.7776336144518188</v>
      </c>
      <c r="BP27" s="77">
        <f t="shared" si="21"/>
        <v>0.77439022020000003</v>
      </c>
      <c r="BQ27" s="197">
        <v>1.6890000000000001</v>
      </c>
      <c r="BR27" s="197">
        <v>0</v>
      </c>
      <c r="BS27" s="197">
        <f t="shared" si="22"/>
        <v>1.1943033534240788</v>
      </c>
      <c r="BT27" s="197">
        <f t="shared" si="23"/>
        <v>0.84450000000000003</v>
      </c>
      <c r="BU27" s="199">
        <f t="shared" si="24"/>
        <v>6.9477581242287131E-2</v>
      </c>
      <c r="BV27" s="199">
        <f t="shared" si="25"/>
        <v>1.835866995E-2</v>
      </c>
      <c r="BW27" s="196">
        <v>198.52941176470588</v>
      </c>
      <c r="BX27" s="196">
        <f t="shared" si="26"/>
        <v>3.2536844240390494</v>
      </c>
      <c r="BY27" s="196">
        <f t="shared" si="0"/>
        <v>4.3158507352941182</v>
      </c>
      <c r="BZ27" s="75">
        <v>0.13</v>
      </c>
      <c r="CA27" s="75">
        <v>0.29299999999999998</v>
      </c>
      <c r="CB27" s="77">
        <v>0.54400000000000004</v>
      </c>
      <c r="CC27" s="77">
        <v>0.55100000000000005</v>
      </c>
      <c r="CD27" s="77">
        <f t="shared" si="27"/>
        <v>0.5475000000000001</v>
      </c>
      <c r="CE27" s="77">
        <v>38.218000000000004</v>
      </c>
      <c r="CF27" s="77">
        <v>37.621000000000002</v>
      </c>
      <c r="CG27" s="77">
        <f t="shared" si="28"/>
        <v>37.919499999999999</v>
      </c>
      <c r="CH27" s="75">
        <f t="shared" si="29"/>
        <v>1.0696614950634695</v>
      </c>
      <c r="CI27" s="75">
        <f t="shared" si="30"/>
        <v>0.82433580245000004</v>
      </c>
      <c r="CJ27" s="77">
        <v>0</v>
      </c>
      <c r="CK27" s="77">
        <v>0</v>
      </c>
      <c r="CL27" s="77">
        <f t="shared" si="31"/>
        <v>0</v>
      </c>
      <c r="CM27" s="77">
        <v>6.1909999999999998</v>
      </c>
      <c r="CN27" s="77">
        <v>6.2279999999999998</v>
      </c>
      <c r="CO27" s="77">
        <f t="shared" si="32"/>
        <v>6.2095000000000002</v>
      </c>
      <c r="CP27" s="77">
        <v>10.962999999999999</v>
      </c>
      <c r="CQ27" s="77">
        <v>11.426</v>
      </c>
      <c r="CR27" s="77">
        <f t="shared" si="33"/>
        <v>11.1945</v>
      </c>
      <c r="CS27" s="77">
        <v>16.352</v>
      </c>
      <c r="CT27" s="77">
        <v>16.016999999999999</v>
      </c>
      <c r="CU27" s="77">
        <f t="shared" si="34"/>
        <v>16.1845</v>
      </c>
      <c r="CV27" s="201">
        <f t="shared" si="35"/>
        <v>0.33696647928378098</v>
      </c>
      <c r="CW27" s="202">
        <f t="shared" si="36"/>
        <v>1.847111195694106</v>
      </c>
      <c r="CX27" s="202">
        <f t="shared" si="37"/>
        <v>3.5906509033228304</v>
      </c>
      <c r="CY27" s="202">
        <f t="shared" si="38"/>
        <v>0.56769832441252688</v>
      </c>
      <c r="CZ27" s="202">
        <f t="shared" si="39"/>
        <v>3.6825083495950621</v>
      </c>
      <c r="DA27" s="202">
        <f t="shared" si="40"/>
        <v>5.4601419640468807</v>
      </c>
      <c r="DB27" s="202">
        <f t="shared" si="41"/>
        <v>0.67443454288241733</v>
      </c>
      <c r="DC27" s="203"/>
    </row>
    <row r="28" spans="1:107" ht="18" x14ac:dyDescent="0.3">
      <c r="A28" s="183" t="s">
        <v>538</v>
      </c>
      <c r="B28" s="74">
        <v>26.1325</v>
      </c>
      <c r="C28" s="74">
        <v>91.782222222222217</v>
      </c>
      <c r="D28" s="74"/>
      <c r="E28" s="74"/>
      <c r="F28" s="190">
        <v>220</v>
      </c>
      <c r="G28" s="74"/>
      <c r="H28" s="74"/>
      <c r="I28" s="74"/>
      <c r="J28" s="74"/>
      <c r="K28" s="74"/>
      <c r="L28" s="74"/>
      <c r="M28" s="190">
        <v>210</v>
      </c>
      <c r="N28" s="74"/>
      <c r="O28" s="74"/>
      <c r="P28" s="74"/>
      <c r="Q28" s="207">
        <v>40</v>
      </c>
      <c r="R28" s="74"/>
      <c r="S28" s="74"/>
      <c r="T28" s="74"/>
      <c r="U28" s="207">
        <v>30</v>
      </c>
      <c r="V28" s="74"/>
      <c r="W28" s="74"/>
      <c r="X28" s="74"/>
      <c r="Y28" s="74"/>
      <c r="Z28" s="206">
        <v>120</v>
      </c>
      <c r="AA28" s="74">
        <v>8.6999999999999993</v>
      </c>
      <c r="AB28" s="191">
        <v>22.18</v>
      </c>
      <c r="AC28" s="74">
        <v>0.6</v>
      </c>
      <c r="AD28" s="74">
        <v>381</v>
      </c>
      <c r="AE28" s="74">
        <v>-412</v>
      </c>
      <c r="AF28" s="192">
        <f t="shared" si="1"/>
        <v>-207</v>
      </c>
      <c r="AG28" s="193">
        <f t="shared" si="2"/>
        <v>-0.20699999999999999</v>
      </c>
      <c r="AH28" s="74">
        <v>112</v>
      </c>
      <c r="AI28" s="74">
        <v>381</v>
      </c>
      <c r="AJ28" s="197">
        <v>0.81499999999999995</v>
      </c>
      <c r="AK28" s="197">
        <v>2.0299999999999998</v>
      </c>
      <c r="AL28" s="197">
        <f t="shared" si="3"/>
        <v>0.85913473914165506</v>
      </c>
      <c r="AM28" s="197">
        <f t="shared" si="4"/>
        <v>1.4224999999999999</v>
      </c>
      <c r="AN28" s="197">
        <v>26.629000000000001</v>
      </c>
      <c r="AO28" s="197">
        <v>26.443000000000001</v>
      </c>
      <c r="AP28" s="197">
        <f t="shared" si="5"/>
        <v>0.13152186130069779</v>
      </c>
      <c r="AQ28" s="197">
        <f t="shared" si="6"/>
        <v>53.072000000000003</v>
      </c>
      <c r="AR28" s="208">
        <f t="shared" si="7"/>
        <v>27.247250000000001</v>
      </c>
      <c r="AS28" s="198">
        <v>0</v>
      </c>
      <c r="AT28" s="198">
        <v>7.0000000000000001E-3</v>
      </c>
      <c r="AU28" s="198">
        <f t="shared" si="8"/>
        <v>4.9497474683058333E-3</v>
      </c>
      <c r="AV28" s="198">
        <f t="shared" si="9"/>
        <v>3.5000000000000001E-3</v>
      </c>
      <c r="AW28" s="197">
        <v>70.341999999999999</v>
      </c>
      <c r="AX28" s="197">
        <v>68.468000000000004</v>
      </c>
      <c r="AY28" s="197">
        <f t="shared" si="10"/>
        <v>1.3251181079435868</v>
      </c>
      <c r="AZ28" s="197">
        <f t="shared" si="11"/>
        <v>69.405000000000001</v>
      </c>
      <c r="BA28" s="199">
        <f t="shared" si="12"/>
        <v>3.0189212701174428</v>
      </c>
      <c r="BB28" s="197">
        <v>2.3E-2</v>
      </c>
      <c r="BC28" s="197">
        <v>2.3E-2</v>
      </c>
      <c r="BD28" s="197">
        <f t="shared" si="13"/>
        <v>0</v>
      </c>
      <c r="BE28" s="197">
        <f t="shared" si="14"/>
        <v>4.5999999999999999E-2</v>
      </c>
      <c r="BF28" s="197">
        <v>1.256</v>
      </c>
      <c r="BG28" s="197">
        <v>1.264</v>
      </c>
      <c r="BH28" s="197">
        <f t="shared" si="15"/>
        <v>5.6568542494923853E-3</v>
      </c>
      <c r="BI28" s="200">
        <f t="shared" si="16"/>
        <v>1.26</v>
      </c>
      <c r="BJ28" s="199">
        <f t="shared" si="17"/>
        <v>3.2299410407587797E-2</v>
      </c>
      <c r="BK28" s="197">
        <v>11.342000000000001</v>
      </c>
      <c r="BL28" s="197">
        <v>10.895</v>
      </c>
      <c r="BM28" s="197">
        <f t="shared" si="18"/>
        <v>0.31607673119038743</v>
      </c>
      <c r="BN28" s="197">
        <f t="shared" si="19"/>
        <v>11.118500000000001</v>
      </c>
      <c r="BO28" s="77">
        <f t="shared" si="20"/>
        <v>0.55484305604072059</v>
      </c>
      <c r="BP28" s="77">
        <f t="shared" si="21"/>
        <v>0.24170618335000002</v>
      </c>
      <c r="BQ28" s="197">
        <v>1.1000000000000001</v>
      </c>
      <c r="BR28" s="197">
        <v>0</v>
      </c>
      <c r="BS28" s="197">
        <f t="shared" si="22"/>
        <v>0.7778174593052023</v>
      </c>
      <c r="BT28" s="197">
        <f t="shared" si="23"/>
        <v>0.55000000000000004</v>
      </c>
      <c r="BU28" s="199">
        <f t="shared" si="24"/>
        <v>4.5248868778280549E-2</v>
      </c>
      <c r="BV28" s="199">
        <f t="shared" si="25"/>
        <v>1.1956505000000001E-2</v>
      </c>
      <c r="BW28" s="196">
        <v>164</v>
      </c>
      <c r="BX28" s="196">
        <f t="shared" si="26"/>
        <v>2.6877843479172947</v>
      </c>
      <c r="BY28" s="196">
        <f t="shared" si="0"/>
        <v>3.5652124000000001</v>
      </c>
      <c r="BZ28" s="75">
        <v>0.13</v>
      </c>
      <c r="CA28" s="75">
        <v>0.28399999999999997</v>
      </c>
      <c r="CB28" s="77">
        <v>5.3959999999999999</v>
      </c>
      <c r="CC28" s="77">
        <v>6.2409999999999997</v>
      </c>
      <c r="CD28" s="77">
        <f t="shared" si="27"/>
        <v>5.8185000000000002</v>
      </c>
      <c r="CE28" s="77">
        <v>4.5650000000000004</v>
      </c>
      <c r="CF28" s="77">
        <v>5.3319999999999999</v>
      </c>
      <c r="CG28" s="77">
        <f t="shared" si="28"/>
        <v>4.9485000000000001</v>
      </c>
      <c r="CH28" s="75">
        <f t="shared" si="29"/>
        <v>0.1395909732016925</v>
      </c>
      <c r="CI28" s="75">
        <f t="shared" si="30"/>
        <v>0.10757593635000001</v>
      </c>
      <c r="CJ28" s="77">
        <v>0</v>
      </c>
      <c r="CK28" s="77">
        <v>0</v>
      </c>
      <c r="CL28" s="77">
        <f t="shared" si="31"/>
        <v>0</v>
      </c>
      <c r="CM28" s="77">
        <v>6.0999999999999999E-2</v>
      </c>
      <c r="CN28" s="77">
        <v>4.2999999999999997E-2</v>
      </c>
      <c r="CO28" s="77">
        <f t="shared" si="32"/>
        <v>5.1999999999999998E-2</v>
      </c>
      <c r="CP28" s="77">
        <v>1.03</v>
      </c>
      <c r="CQ28" s="77">
        <v>1.64</v>
      </c>
      <c r="CR28" s="77">
        <f t="shared" si="33"/>
        <v>1.335</v>
      </c>
      <c r="CS28" s="77">
        <v>0</v>
      </c>
      <c r="CT28" s="77">
        <v>0</v>
      </c>
      <c r="CU28" s="77">
        <f t="shared" si="34"/>
        <v>0</v>
      </c>
      <c r="CV28" s="201">
        <f t="shared" si="35"/>
        <v>0</v>
      </c>
      <c r="CW28" s="202">
        <f t="shared" si="36"/>
        <v>0.60009192481900109</v>
      </c>
      <c r="CX28" s="202">
        <f t="shared" si="37"/>
        <v>2.6877843479172947</v>
      </c>
      <c r="CY28" s="202">
        <f t="shared" si="38"/>
        <v>0.22326639608717092</v>
      </c>
      <c r="CZ28" s="202">
        <f t="shared" si="39"/>
        <v>3.0512206805250308</v>
      </c>
      <c r="DA28" s="202">
        <f t="shared" si="40"/>
        <v>3.6060637365657513</v>
      </c>
      <c r="DB28" s="202">
        <f t="shared" si="41"/>
        <v>0.84613609282205104</v>
      </c>
      <c r="DC28" s="203"/>
    </row>
    <row r="29" spans="1:107" ht="15.6" x14ac:dyDescent="0.3">
      <c r="A29" s="183" t="s">
        <v>539</v>
      </c>
      <c r="B29" s="74">
        <v>26.132222222222222</v>
      </c>
      <c r="C29" s="74">
        <v>91.782499999999999</v>
      </c>
      <c r="D29" s="74"/>
      <c r="E29" s="74"/>
      <c r="F29" s="190">
        <v>30</v>
      </c>
      <c r="G29" s="74"/>
      <c r="H29" s="74"/>
      <c r="I29" s="74"/>
      <c r="J29" s="74"/>
      <c r="K29" s="74"/>
      <c r="L29" s="74"/>
      <c r="M29" s="190">
        <v>40</v>
      </c>
      <c r="N29" s="74"/>
      <c r="O29" s="74"/>
      <c r="P29" s="74"/>
      <c r="Q29" s="190">
        <v>12</v>
      </c>
      <c r="R29" s="74"/>
      <c r="S29" s="74"/>
      <c r="T29" s="74"/>
      <c r="U29" s="190">
        <v>14</v>
      </c>
      <c r="V29" s="74"/>
      <c r="W29" s="74"/>
      <c r="X29" s="74"/>
      <c r="Y29" s="74"/>
      <c r="Z29" s="206">
        <v>100</v>
      </c>
      <c r="AA29" s="74">
        <v>7.1</v>
      </c>
      <c r="AB29" s="191">
        <v>22.9</v>
      </c>
      <c r="AC29" s="74">
        <v>1.4</v>
      </c>
      <c r="AD29" s="74">
        <v>327</v>
      </c>
      <c r="AE29" s="74">
        <v>173</v>
      </c>
      <c r="AF29" s="192">
        <f t="shared" si="1"/>
        <v>378</v>
      </c>
      <c r="AG29" s="193">
        <f t="shared" si="2"/>
        <v>0.378</v>
      </c>
      <c r="AH29" s="74">
        <v>183</v>
      </c>
      <c r="AI29" s="74">
        <v>327</v>
      </c>
      <c r="AJ29" s="197">
        <v>0</v>
      </c>
      <c r="AK29" s="197">
        <v>0</v>
      </c>
      <c r="AL29" s="197">
        <f t="shared" si="3"/>
        <v>0</v>
      </c>
      <c r="AM29" s="197">
        <f t="shared" si="4"/>
        <v>0</v>
      </c>
      <c r="AN29" s="197">
        <v>0</v>
      </c>
      <c r="AO29" s="197">
        <v>0</v>
      </c>
      <c r="AP29" s="197">
        <f t="shared" si="5"/>
        <v>0</v>
      </c>
      <c r="AQ29" s="197">
        <f t="shared" si="6"/>
        <v>0</v>
      </c>
      <c r="AR29" s="77">
        <f t="shared" si="7"/>
        <v>0</v>
      </c>
      <c r="AS29" s="198">
        <v>3.0000000000000001E-3</v>
      </c>
      <c r="AT29" s="198">
        <v>4.0000000000000001E-3</v>
      </c>
      <c r="AU29" s="198">
        <f t="shared" si="8"/>
        <v>7.0710678118654751E-4</v>
      </c>
      <c r="AV29" s="198">
        <f t="shared" si="9"/>
        <v>3.5000000000000001E-3</v>
      </c>
      <c r="AW29" s="197">
        <v>57.384</v>
      </c>
      <c r="AX29" s="197">
        <v>59.073999999999998</v>
      </c>
      <c r="AY29" s="197">
        <f t="shared" si="10"/>
        <v>1.1950104602052638</v>
      </c>
      <c r="AZ29" s="197">
        <f t="shared" si="11"/>
        <v>58.228999999999999</v>
      </c>
      <c r="BA29" s="199">
        <f t="shared" si="12"/>
        <v>2.5327968682035671</v>
      </c>
      <c r="BB29" s="197">
        <v>4.2999999999999997E-2</v>
      </c>
      <c r="BC29" s="197">
        <v>0</v>
      </c>
      <c r="BD29" s="197">
        <f t="shared" si="13"/>
        <v>3.040559159102154E-2</v>
      </c>
      <c r="BE29" s="197">
        <f t="shared" si="14"/>
        <v>4.2999999999999997E-2</v>
      </c>
      <c r="BF29" s="197">
        <v>5.3869999999999996</v>
      </c>
      <c r="BG29" s="197">
        <v>5.5540000000000003</v>
      </c>
      <c r="BH29" s="197">
        <f t="shared" si="15"/>
        <v>0.11808683245815393</v>
      </c>
      <c r="BI29" s="200">
        <f t="shared" si="16"/>
        <v>5.4704999999999995</v>
      </c>
      <c r="BJ29" s="199">
        <f t="shared" si="17"/>
        <v>0.14023327351961035</v>
      </c>
      <c r="BK29" s="197">
        <v>8</v>
      </c>
      <c r="BL29" s="197">
        <v>0</v>
      </c>
      <c r="BM29" s="197">
        <f t="shared" si="18"/>
        <v>5.6568542494923806</v>
      </c>
      <c r="BN29" s="197">
        <f t="shared" si="19"/>
        <v>4</v>
      </c>
      <c r="BO29" s="77">
        <f t="shared" si="20"/>
        <v>0.19961075901991115</v>
      </c>
      <c r="BP29" s="77">
        <f t="shared" si="21"/>
        <v>8.6956400000000003E-2</v>
      </c>
      <c r="BQ29" s="197">
        <v>1.7</v>
      </c>
      <c r="BR29" s="197">
        <v>0</v>
      </c>
      <c r="BS29" s="197">
        <f t="shared" si="22"/>
        <v>1.2020815280171306</v>
      </c>
      <c r="BT29" s="197">
        <f t="shared" si="23"/>
        <v>0.85</v>
      </c>
      <c r="BU29" s="199">
        <f t="shared" si="24"/>
        <v>6.9930069930069935E-2</v>
      </c>
      <c r="BV29" s="199">
        <f t="shared" si="25"/>
        <v>1.8478234999999999E-2</v>
      </c>
      <c r="BW29" s="196">
        <v>353.65853658536582</v>
      </c>
      <c r="BX29" s="196">
        <f t="shared" si="26"/>
        <v>5.7960846289114771</v>
      </c>
      <c r="BY29" s="196">
        <f t="shared" si="0"/>
        <v>7.6882182926829268</v>
      </c>
      <c r="BZ29" s="75">
        <v>0.19</v>
      </c>
      <c r="CA29" s="75">
        <v>0.27300000000000002</v>
      </c>
      <c r="CB29" s="77">
        <v>0.38700000000000001</v>
      </c>
      <c r="CC29" s="77">
        <v>0.39800000000000002</v>
      </c>
      <c r="CD29" s="77">
        <f t="shared" si="27"/>
        <v>0.39250000000000002</v>
      </c>
      <c r="CE29" s="77">
        <v>11.234</v>
      </c>
      <c r="CF29" s="77">
        <v>10.881</v>
      </c>
      <c r="CG29" s="77">
        <f t="shared" si="28"/>
        <v>11.057500000000001</v>
      </c>
      <c r="CH29" s="75">
        <f t="shared" si="29"/>
        <v>0.31191819464033849</v>
      </c>
      <c r="CI29" s="75">
        <f t="shared" si="30"/>
        <v>0.24038009825000003</v>
      </c>
      <c r="CJ29" s="77">
        <v>0</v>
      </c>
      <c r="CK29" s="77">
        <v>0</v>
      </c>
      <c r="CL29" s="77">
        <f t="shared" si="31"/>
        <v>0</v>
      </c>
      <c r="CM29" s="77">
        <v>3.2099999999999997E-2</v>
      </c>
      <c r="CN29" s="77">
        <v>4.3099999999999999E-2</v>
      </c>
      <c r="CO29" s="77">
        <f t="shared" si="32"/>
        <v>3.7599999999999995E-2</v>
      </c>
      <c r="CP29" s="77">
        <v>4.2309999999999999</v>
      </c>
      <c r="CQ29" s="77">
        <v>3.7719999999999998</v>
      </c>
      <c r="CR29" s="77">
        <f t="shared" si="33"/>
        <v>4.0015000000000001</v>
      </c>
      <c r="CS29" s="77">
        <v>1.288</v>
      </c>
      <c r="CT29" s="77">
        <v>1.3160000000000001</v>
      </c>
      <c r="CU29" s="77">
        <f t="shared" si="34"/>
        <v>1.302</v>
      </c>
      <c r="CV29" s="201">
        <f t="shared" si="35"/>
        <v>2.7108057464084949E-2</v>
      </c>
      <c r="CW29" s="202">
        <f t="shared" si="36"/>
        <v>0.2695408289499811</v>
      </c>
      <c r="CX29" s="202">
        <f t="shared" si="37"/>
        <v>5.8231926863755623</v>
      </c>
      <c r="CY29" s="202">
        <f t="shared" si="38"/>
        <v>4.6503949857026453E-2</v>
      </c>
      <c r="CZ29" s="202">
        <f t="shared" si="39"/>
        <v>2.6730301417231774</v>
      </c>
      <c r="DA29" s="202">
        <f t="shared" si="40"/>
        <v>2.8726409007430886</v>
      </c>
      <c r="DB29" s="202">
        <f t="shared" si="41"/>
        <v>0.93051315290808667</v>
      </c>
      <c r="DC29" s="203"/>
    </row>
    <row r="30" spans="1:107" ht="18" x14ac:dyDescent="0.3">
      <c r="A30" s="183" t="s">
        <v>540</v>
      </c>
      <c r="B30" s="74">
        <v>26.134722222222223</v>
      </c>
      <c r="C30" s="74">
        <v>91.777777777777771</v>
      </c>
      <c r="D30" s="74"/>
      <c r="E30" s="74"/>
      <c r="F30" s="190">
        <v>130</v>
      </c>
      <c r="G30" s="74"/>
      <c r="H30" s="74"/>
      <c r="I30" s="74"/>
      <c r="J30" s="74"/>
      <c r="K30" s="74"/>
      <c r="L30" s="74"/>
      <c r="M30" s="190">
        <v>100</v>
      </c>
      <c r="N30" s="74"/>
      <c r="O30" s="74"/>
      <c r="P30" s="74"/>
      <c r="Q30" s="207">
        <v>40</v>
      </c>
      <c r="R30" s="74"/>
      <c r="S30" s="74"/>
      <c r="T30" s="74"/>
      <c r="U30" s="207">
        <v>50</v>
      </c>
      <c r="V30" s="74"/>
      <c r="W30" s="74"/>
      <c r="X30" s="74"/>
      <c r="Y30" s="74"/>
      <c r="Z30" s="206">
        <v>55</v>
      </c>
      <c r="AA30" s="74">
        <v>8.6</v>
      </c>
      <c r="AB30" s="191">
        <v>21.3</v>
      </c>
      <c r="AC30" s="74">
        <v>0.4</v>
      </c>
      <c r="AD30" s="74">
        <v>382</v>
      </c>
      <c r="AE30" s="74">
        <v>-422</v>
      </c>
      <c r="AF30" s="192">
        <f t="shared" si="1"/>
        <v>-217</v>
      </c>
      <c r="AG30" s="193">
        <f t="shared" si="2"/>
        <v>-0.217</v>
      </c>
      <c r="AH30" s="74">
        <v>162</v>
      </c>
      <c r="AI30" s="74">
        <v>382</v>
      </c>
      <c r="AJ30" s="197">
        <v>7.2809999999999997</v>
      </c>
      <c r="AK30" s="197">
        <v>9.3740000000000006</v>
      </c>
      <c r="AL30" s="197">
        <f t="shared" si="3"/>
        <v>1.4799744930234353</v>
      </c>
      <c r="AM30" s="197">
        <f t="shared" si="4"/>
        <v>8.3275000000000006</v>
      </c>
      <c r="AN30" s="197">
        <v>48.598999999999997</v>
      </c>
      <c r="AO30" s="197">
        <v>0</v>
      </c>
      <c r="AP30" s="197">
        <f t="shared" si="5"/>
        <v>34.364682458885021</v>
      </c>
      <c r="AQ30" s="197">
        <f t="shared" si="6"/>
        <v>48.598999999999997</v>
      </c>
      <c r="AR30" s="208">
        <f t="shared" si="7"/>
        <v>28.463249999999999</v>
      </c>
      <c r="AS30" s="198">
        <v>6.0000000000000001E-3</v>
      </c>
      <c r="AT30" s="198">
        <v>6.0000000000000001E-3</v>
      </c>
      <c r="AU30" s="198">
        <f t="shared" si="8"/>
        <v>0</v>
      </c>
      <c r="AV30" s="198">
        <f t="shared" si="9"/>
        <v>6.0000000000000001E-3</v>
      </c>
      <c r="AW30" s="197">
        <v>80.674000000000007</v>
      </c>
      <c r="AX30" s="197">
        <v>82.57</v>
      </c>
      <c r="AY30" s="197">
        <f t="shared" si="10"/>
        <v>1.3406744571296847</v>
      </c>
      <c r="AZ30" s="197">
        <f t="shared" si="11"/>
        <v>81.622</v>
      </c>
      <c r="BA30" s="199">
        <f t="shared" si="12"/>
        <v>3.5503262287951287</v>
      </c>
      <c r="BB30" s="197">
        <v>2.5999999999999999E-2</v>
      </c>
      <c r="BC30" s="197">
        <v>2.8000000000000001E-2</v>
      </c>
      <c r="BD30" s="197">
        <f t="shared" si="13"/>
        <v>1.4142135623730963E-3</v>
      </c>
      <c r="BE30" s="197">
        <f t="shared" si="14"/>
        <v>5.3999999999999999E-2</v>
      </c>
      <c r="BF30" s="197">
        <v>1.5620000000000001</v>
      </c>
      <c r="BG30" s="197">
        <v>1.663</v>
      </c>
      <c r="BH30" s="197">
        <f t="shared" si="15"/>
        <v>7.1417784899841283E-2</v>
      </c>
      <c r="BI30" s="200">
        <f t="shared" si="16"/>
        <v>1.6125</v>
      </c>
      <c r="BJ30" s="199">
        <f t="shared" si="17"/>
        <v>4.1335554985901052E-2</v>
      </c>
      <c r="BK30" s="197">
        <v>14.119</v>
      </c>
      <c r="BL30" s="197">
        <v>14.786</v>
      </c>
      <c r="BM30" s="197">
        <f t="shared" si="18"/>
        <v>0.47164022305142705</v>
      </c>
      <c r="BN30" s="197">
        <f t="shared" si="19"/>
        <v>14.452500000000001</v>
      </c>
      <c r="BO30" s="77">
        <f t="shared" si="20"/>
        <v>0.72121862368381651</v>
      </c>
      <c r="BP30" s="77">
        <f t="shared" si="21"/>
        <v>0.31418434275000001</v>
      </c>
      <c r="BQ30" s="197">
        <v>1.2</v>
      </c>
      <c r="BR30" s="197">
        <v>0</v>
      </c>
      <c r="BS30" s="197">
        <f t="shared" si="22"/>
        <v>0.84852813742385702</v>
      </c>
      <c r="BT30" s="197">
        <f t="shared" si="23"/>
        <v>0.6</v>
      </c>
      <c r="BU30" s="199">
        <f t="shared" si="24"/>
        <v>4.9362402303578773E-2</v>
      </c>
      <c r="BV30" s="199">
        <f t="shared" si="25"/>
        <v>1.304346E-2</v>
      </c>
      <c r="BW30" s="196">
        <v>188</v>
      </c>
      <c r="BX30" s="196">
        <f t="shared" si="26"/>
        <v>3.0811186427344599</v>
      </c>
      <c r="BY30" s="196">
        <f t="shared" si="0"/>
        <v>4.0869508000000003</v>
      </c>
      <c r="BZ30" s="75">
        <v>0.21</v>
      </c>
      <c r="CA30" s="75">
        <v>0.32100000000000001</v>
      </c>
      <c r="CB30" s="77">
        <v>6.2069999999999999</v>
      </c>
      <c r="CC30" s="77">
        <v>6.0579999999999998</v>
      </c>
      <c r="CD30" s="77">
        <f t="shared" si="27"/>
        <v>6.1325000000000003</v>
      </c>
      <c r="CE30" s="77">
        <v>14.018000000000001</v>
      </c>
      <c r="CF30" s="77">
        <v>13.231</v>
      </c>
      <c r="CG30" s="77">
        <f t="shared" si="28"/>
        <v>13.624500000000001</v>
      </c>
      <c r="CH30" s="75">
        <f t="shared" si="29"/>
        <v>0.38433004231311707</v>
      </c>
      <c r="CI30" s="75">
        <f t="shared" si="30"/>
        <v>0.29618436795000003</v>
      </c>
      <c r="CJ30" s="77">
        <v>0</v>
      </c>
      <c r="CK30" s="77">
        <v>0</v>
      </c>
      <c r="CL30" s="77">
        <f t="shared" si="31"/>
        <v>0</v>
      </c>
      <c r="CM30" s="77">
        <v>0</v>
      </c>
      <c r="CN30" s="77">
        <v>0</v>
      </c>
      <c r="CO30" s="77">
        <f t="shared" si="32"/>
        <v>0</v>
      </c>
      <c r="CP30" s="77">
        <v>3.4430000000000001</v>
      </c>
      <c r="CQ30" s="77">
        <v>3.2410000000000001</v>
      </c>
      <c r="CR30" s="77">
        <f t="shared" si="33"/>
        <v>3.3420000000000001</v>
      </c>
      <c r="CS30" s="77">
        <v>0</v>
      </c>
      <c r="CT30" s="77">
        <v>0</v>
      </c>
      <c r="CU30" s="77">
        <f t="shared" si="34"/>
        <v>0</v>
      </c>
      <c r="CV30" s="201">
        <f t="shared" si="35"/>
        <v>0</v>
      </c>
      <c r="CW30" s="202">
        <f t="shared" si="36"/>
        <v>0.77058102598739531</v>
      </c>
      <c r="CX30" s="202">
        <f t="shared" si="37"/>
        <v>3.0811186427344599</v>
      </c>
      <c r="CY30" s="202">
        <f t="shared" si="38"/>
        <v>0.25009781035355161</v>
      </c>
      <c r="CZ30" s="202">
        <f t="shared" si="39"/>
        <v>3.5916617837810296</v>
      </c>
      <c r="DA30" s="202">
        <f t="shared" si="40"/>
        <v>4.3128804074648457</v>
      </c>
      <c r="DB30" s="202">
        <f t="shared" si="41"/>
        <v>0.83277564978720209</v>
      </c>
      <c r="DC30" s="203"/>
    </row>
    <row r="31" spans="1:107" ht="18" x14ac:dyDescent="0.3">
      <c r="A31" s="183" t="s">
        <v>541</v>
      </c>
      <c r="B31" s="74">
        <v>26.134166666666665</v>
      </c>
      <c r="C31" s="74">
        <v>91.777500000000003</v>
      </c>
      <c r="D31" s="74"/>
      <c r="E31" s="74"/>
      <c r="F31" s="190">
        <v>140</v>
      </c>
      <c r="G31" s="74"/>
      <c r="H31" s="74"/>
      <c r="I31" s="74"/>
      <c r="J31" s="74"/>
      <c r="K31" s="74"/>
      <c r="L31" s="74"/>
      <c r="M31" s="190">
        <v>150</v>
      </c>
      <c r="N31" s="74"/>
      <c r="O31" s="74"/>
      <c r="P31" s="74"/>
      <c r="Q31" s="207">
        <v>25</v>
      </c>
      <c r="R31" s="74"/>
      <c r="S31" s="74"/>
      <c r="T31" s="74"/>
      <c r="U31" s="207">
        <v>30</v>
      </c>
      <c r="V31" s="74"/>
      <c r="W31" s="74"/>
      <c r="X31" s="74"/>
      <c r="Y31" s="74"/>
      <c r="Z31" s="206">
        <v>100</v>
      </c>
      <c r="AA31" s="74">
        <v>8.1</v>
      </c>
      <c r="AB31" s="191">
        <v>21.99</v>
      </c>
      <c r="AC31" s="74">
        <v>0.5</v>
      </c>
      <c r="AD31" s="74">
        <v>234</v>
      </c>
      <c r="AE31" s="74">
        <v>-382</v>
      </c>
      <c r="AF31" s="192">
        <f t="shared" si="1"/>
        <v>-177</v>
      </c>
      <c r="AG31" s="193">
        <f t="shared" si="2"/>
        <v>-0.17699999999999999</v>
      </c>
      <c r="AH31" s="74">
        <v>139</v>
      </c>
      <c r="AI31" s="74">
        <v>234</v>
      </c>
      <c r="AJ31" s="197">
        <v>19.361999999999998</v>
      </c>
      <c r="AK31" s="197">
        <v>0</v>
      </c>
      <c r="AL31" s="197">
        <f t="shared" si="3"/>
        <v>13.691001497333932</v>
      </c>
      <c r="AM31" s="197">
        <f t="shared" si="4"/>
        <v>9.6809999999999992</v>
      </c>
      <c r="AN31" s="197">
        <v>34.345999999999997</v>
      </c>
      <c r="AO31" s="197">
        <v>0</v>
      </c>
      <c r="AP31" s="197">
        <f t="shared" si="5"/>
        <v>24.286289506633157</v>
      </c>
      <c r="AQ31" s="197">
        <f t="shared" si="6"/>
        <v>34.345999999999997</v>
      </c>
      <c r="AR31" s="208">
        <f t="shared" si="7"/>
        <v>22.013499999999997</v>
      </c>
      <c r="AS31" s="209">
        <v>0</v>
      </c>
      <c r="AT31" s="209">
        <v>0</v>
      </c>
      <c r="AU31" s="198">
        <f t="shared" si="8"/>
        <v>0</v>
      </c>
      <c r="AV31" s="198">
        <f t="shared" si="9"/>
        <v>0</v>
      </c>
      <c r="AW31" s="197">
        <v>0</v>
      </c>
      <c r="AX31" s="197">
        <v>0</v>
      </c>
      <c r="AY31" s="197">
        <f t="shared" si="10"/>
        <v>0</v>
      </c>
      <c r="AZ31" s="197">
        <f t="shared" si="11"/>
        <v>0</v>
      </c>
      <c r="BA31" s="199">
        <f t="shared" si="12"/>
        <v>0</v>
      </c>
      <c r="BB31" s="197">
        <v>0</v>
      </c>
      <c r="BC31" s="197">
        <v>0</v>
      </c>
      <c r="BD31" s="197">
        <f t="shared" si="13"/>
        <v>0</v>
      </c>
      <c r="BE31" s="197">
        <f t="shared" si="14"/>
        <v>0</v>
      </c>
      <c r="BF31" s="197">
        <v>0</v>
      </c>
      <c r="BG31" s="197">
        <v>0</v>
      </c>
      <c r="BH31" s="197">
        <f t="shared" si="15"/>
        <v>0</v>
      </c>
      <c r="BI31" s="200">
        <f t="shared" si="16"/>
        <v>0</v>
      </c>
      <c r="BJ31" s="199">
        <f t="shared" si="17"/>
        <v>0</v>
      </c>
      <c r="BK31" s="197">
        <v>7</v>
      </c>
      <c r="BL31" s="197">
        <v>0</v>
      </c>
      <c r="BM31" s="197">
        <f t="shared" si="18"/>
        <v>4.9497474683058327</v>
      </c>
      <c r="BN31" s="197">
        <f t="shared" si="19"/>
        <v>3.5</v>
      </c>
      <c r="BO31" s="77">
        <f t="shared" si="20"/>
        <v>0.17465941414242225</v>
      </c>
      <c r="BP31" s="77">
        <f t="shared" si="21"/>
        <v>7.6086849999999998E-2</v>
      </c>
      <c r="BQ31" s="197">
        <v>1.1000000000000001</v>
      </c>
      <c r="BR31" s="197">
        <v>0</v>
      </c>
      <c r="BS31" s="197">
        <f t="shared" si="22"/>
        <v>0.7778174593052023</v>
      </c>
      <c r="BT31" s="197">
        <f t="shared" si="23"/>
        <v>0.55000000000000004</v>
      </c>
      <c r="BU31" s="199">
        <f t="shared" si="24"/>
        <v>4.5248868778280549E-2</v>
      </c>
      <c r="BV31" s="199">
        <f t="shared" si="25"/>
        <v>1.1956505000000001E-2</v>
      </c>
      <c r="BW31" s="196">
        <v>110</v>
      </c>
      <c r="BX31" s="196">
        <f t="shared" si="26"/>
        <v>1.8027821845786733</v>
      </c>
      <c r="BY31" s="196">
        <f t="shared" si="0"/>
        <v>2.3913009999999999</v>
      </c>
      <c r="BZ31" s="75">
        <v>0.17</v>
      </c>
      <c r="CA31" s="75">
        <v>0.29099999999999998</v>
      </c>
      <c r="CB31" s="77">
        <v>1.0999999999999999E-2</v>
      </c>
      <c r="CC31" s="77">
        <v>0.02</v>
      </c>
      <c r="CD31" s="77">
        <f t="shared" si="27"/>
        <v>1.55E-2</v>
      </c>
      <c r="CE31" s="77">
        <v>13.182</v>
      </c>
      <c r="CF31" s="77">
        <v>12.42</v>
      </c>
      <c r="CG31" s="77">
        <f t="shared" si="28"/>
        <v>12.801</v>
      </c>
      <c r="CH31" s="75">
        <f t="shared" si="29"/>
        <v>0.36110014104372351</v>
      </c>
      <c r="CI31" s="75">
        <f t="shared" si="30"/>
        <v>0.27828221910000001</v>
      </c>
      <c r="CJ31" s="77">
        <v>0</v>
      </c>
      <c r="CK31" s="77">
        <v>0</v>
      </c>
      <c r="CL31" s="77">
        <f t="shared" si="31"/>
        <v>0</v>
      </c>
      <c r="CM31" s="77">
        <v>3.29</v>
      </c>
      <c r="CN31" s="77">
        <v>4.0199999999999996</v>
      </c>
      <c r="CO31" s="77">
        <f t="shared" si="32"/>
        <v>3.6549999999999998</v>
      </c>
      <c r="CP31" s="77">
        <v>5.83</v>
      </c>
      <c r="CQ31" s="77">
        <v>4.1900000000000004</v>
      </c>
      <c r="CR31" s="77">
        <f t="shared" si="33"/>
        <v>5.01</v>
      </c>
      <c r="CS31" s="77">
        <v>0</v>
      </c>
      <c r="CT31" s="77">
        <v>0</v>
      </c>
      <c r="CU31" s="77">
        <f t="shared" si="34"/>
        <v>0</v>
      </c>
      <c r="CV31" s="201">
        <f t="shared" si="35"/>
        <v>0</v>
      </c>
      <c r="CW31" s="202">
        <f t="shared" si="36"/>
        <v>0.2199082829207028</v>
      </c>
      <c r="CX31" s="202">
        <f t="shared" si="37"/>
        <v>1.8027821845786733</v>
      </c>
      <c r="CY31" s="202">
        <f t="shared" si="38"/>
        <v>0.12198272470287218</v>
      </c>
      <c r="CZ31" s="202">
        <f t="shared" si="39"/>
        <v>0</v>
      </c>
      <c r="DA31" s="202">
        <f t="shared" si="40"/>
        <v>0.17465941414242225</v>
      </c>
      <c r="DB31" s="202">
        <f t="shared" si="41"/>
        <v>0</v>
      </c>
      <c r="DC31" s="203"/>
    </row>
    <row r="32" spans="1:107" ht="18" x14ac:dyDescent="0.3">
      <c r="A32" s="183" t="s">
        <v>542</v>
      </c>
      <c r="B32" s="74">
        <v>26.109444444444446</v>
      </c>
      <c r="C32" s="74">
        <v>91.774166666666659</v>
      </c>
      <c r="D32" s="74"/>
      <c r="E32" s="74"/>
      <c r="F32" s="190">
        <v>210</v>
      </c>
      <c r="G32" s="74"/>
      <c r="H32" s="74"/>
      <c r="I32" s="74"/>
      <c r="J32" s="74"/>
      <c r="K32" s="74"/>
      <c r="L32" s="74"/>
      <c r="M32" s="190">
        <v>200</v>
      </c>
      <c r="N32" s="74"/>
      <c r="O32" s="74"/>
      <c r="P32" s="74"/>
      <c r="Q32" s="207">
        <v>120</v>
      </c>
      <c r="R32" s="74"/>
      <c r="S32" s="74"/>
      <c r="T32" s="74"/>
      <c r="U32" s="207">
        <v>140</v>
      </c>
      <c r="V32" s="74"/>
      <c r="W32" s="74"/>
      <c r="X32" s="74"/>
      <c r="Y32" s="74"/>
      <c r="Z32" s="206">
        <v>120</v>
      </c>
      <c r="AA32" s="74">
        <v>9.3000000000000007</v>
      </c>
      <c r="AB32" s="191">
        <v>23.75</v>
      </c>
      <c r="AC32" s="74">
        <v>0.2</v>
      </c>
      <c r="AD32" s="74">
        <v>349</v>
      </c>
      <c r="AE32" s="74">
        <v>-364</v>
      </c>
      <c r="AF32" s="192">
        <f t="shared" si="1"/>
        <v>-159</v>
      </c>
      <c r="AG32" s="193">
        <f t="shared" si="2"/>
        <v>-0.159</v>
      </c>
      <c r="AH32" s="74">
        <v>201</v>
      </c>
      <c r="AI32" s="74">
        <v>349</v>
      </c>
      <c r="AJ32" s="197">
        <v>0</v>
      </c>
      <c r="AK32" s="197">
        <v>0</v>
      </c>
      <c r="AL32" s="197">
        <f t="shared" si="3"/>
        <v>0</v>
      </c>
      <c r="AM32" s="197">
        <f t="shared" si="4"/>
        <v>0</v>
      </c>
      <c r="AN32" s="197">
        <v>23.216999999999999</v>
      </c>
      <c r="AO32" s="197">
        <v>20.417000000000002</v>
      </c>
      <c r="AP32" s="197">
        <f t="shared" si="5"/>
        <v>1.9798989873223309</v>
      </c>
      <c r="AQ32" s="197">
        <f t="shared" si="6"/>
        <v>43.634</v>
      </c>
      <c r="AR32" s="208">
        <f t="shared" si="7"/>
        <v>21.817</v>
      </c>
      <c r="AS32" s="198">
        <v>7.0000000000000001E-3</v>
      </c>
      <c r="AT32" s="198">
        <v>7.0000000000000001E-3</v>
      </c>
      <c r="AU32" s="198">
        <f t="shared" si="8"/>
        <v>0</v>
      </c>
      <c r="AV32" s="198">
        <f t="shared" si="9"/>
        <v>7.0000000000000001E-3</v>
      </c>
      <c r="AW32" s="197">
        <v>26.741</v>
      </c>
      <c r="AX32" s="197">
        <v>28.806999999999999</v>
      </c>
      <c r="AY32" s="197">
        <f t="shared" si="10"/>
        <v>1.4608826099314063</v>
      </c>
      <c r="AZ32" s="197">
        <f t="shared" si="11"/>
        <v>27.774000000000001</v>
      </c>
      <c r="BA32" s="199">
        <f t="shared" si="12"/>
        <v>1.2080904741191825</v>
      </c>
      <c r="BB32" s="197">
        <v>0.26600000000000001</v>
      </c>
      <c r="BC32" s="197">
        <v>0.21099999999999999</v>
      </c>
      <c r="BD32" s="197">
        <f t="shared" si="13"/>
        <v>3.8890872965260469E-2</v>
      </c>
      <c r="BE32" s="197">
        <f t="shared" si="14"/>
        <v>0.47699999999999998</v>
      </c>
      <c r="BF32" s="197">
        <v>1.8620000000000001</v>
      </c>
      <c r="BG32" s="197">
        <v>2.0270000000000001</v>
      </c>
      <c r="BH32" s="197">
        <f t="shared" si="15"/>
        <v>0.11667261889578037</v>
      </c>
      <c r="BI32" s="200">
        <f t="shared" si="16"/>
        <v>1.9445000000000001</v>
      </c>
      <c r="BJ32" s="199">
        <f t="shared" si="17"/>
        <v>4.9846193283773398E-2</v>
      </c>
      <c r="BK32" s="197">
        <v>22.706</v>
      </c>
      <c r="BL32" s="197">
        <v>23.981000000000002</v>
      </c>
      <c r="BM32" s="197">
        <f t="shared" si="18"/>
        <v>0.90156114601284965</v>
      </c>
      <c r="BN32" s="197">
        <f t="shared" si="19"/>
        <v>23.343499999999999</v>
      </c>
      <c r="BO32" s="77">
        <f t="shared" si="20"/>
        <v>1.1649034382953241</v>
      </c>
      <c r="BP32" s="77">
        <f t="shared" si="21"/>
        <v>0.50746668085000002</v>
      </c>
      <c r="BQ32" s="197">
        <v>1.8</v>
      </c>
      <c r="BR32" s="197">
        <v>1.1379999999999999</v>
      </c>
      <c r="BS32" s="197">
        <f t="shared" si="22"/>
        <v>0.46810468914549497</v>
      </c>
      <c r="BT32" s="197">
        <f t="shared" si="23"/>
        <v>1.4689999999999999</v>
      </c>
      <c r="BU32" s="199">
        <f t="shared" si="24"/>
        <v>0.12085561497326203</v>
      </c>
      <c r="BV32" s="199">
        <f t="shared" si="25"/>
        <v>3.1934737899999996E-2</v>
      </c>
      <c r="BW32" s="196">
        <v>273.99999999999994</v>
      </c>
      <c r="BX32" s="196">
        <f t="shared" si="26"/>
        <v>4.4905665324959667</v>
      </c>
      <c r="BY32" s="196">
        <f t="shared" si="0"/>
        <v>5.9565133999999986</v>
      </c>
      <c r="BZ32" s="75">
        <v>0.13</v>
      </c>
      <c r="CA32" s="75">
        <v>0.28499999999999998</v>
      </c>
      <c r="CB32" s="77">
        <v>0.68899999999999995</v>
      </c>
      <c r="CC32" s="77">
        <v>0.71299999999999997</v>
      </c>
      <c r="CD32" s="77">
        <f t="shared" si="27"/>
        <v>0.70099999999999996</v>
      </c>
      <c r="CE32" s="77">
        <v>3.948</v>
      </c>
      <c r="CF32" s="77">
        <v>3.8809999999999998</v>
      </c>
      <c r="CG32" s="77">
        <f t="shared" si="28"/>
        <v>3.9144999999999999</v>
      </c>
      <c r="CH32" s="75">
        <f t="shared" si="29"/>
        <v>0.11042313117066289</v>
      </c>
      <c r="CI32" s="75">
        <f t="shared" si="30"/>
        <v>8.5097706950000004E-2</v>
      </c>
      <c r="CJ32" s="77">
        <v>0</v>
      </c>
      <c r="CK32" s="77">
        <v>0</v>
      </c>
      <c r="CL32" s="77">
        <f t="shared" si="31"/>
        <v>0</v>
      </c>
      <c r="CM32" s="77">
        <v>2.613</v>
      </c>
      <c r="CN32" s="77">
        <v>2.57</v>
      </c>
      <c r="CO32" s="77">
        <f t="shared" si="32"/>
        <v>2.5914999999999999</v>
      </c>
      <c r="CP32" s="77">
        <v>0.53400000000000003</v>
      </c>
      <c r="CQ32" s="77">
        <v>0.51200000000000001</v>
      </c>
      <c r="CR32" s="77">
        <f t="shared" si="33"/>
        <v>0.52300000000000002</v>
      </c>
      <c r="CS32" s="77">
        <v>0</v>
      </c>
      <c r="CT32" s="77">
        <v>0</v>
      </c>
      <c r="CU32" s="77">
        <f t="shared" si="34"/>
        <v>0</v>
      </c>
      <c r="CV32" s="201">
        <f t="shared" si="35"/>
        <v>0</v>
      </c>
      <c r="CW32" s="202">
        <f t="shared" si="36"/>
        <v>1.2857590532685861</v>
      </c>
      <c r="CX32" s="202">
        <f t="shared" si="37"/>
        <v>4.4905665324959667</v>
      </c>
      <c r="CY32" s="202">
        <f t="shared" si="38"/>
        <v>0.28632446350904633</v>
      </c>
      <c r="CZ32" s="202">
        <f t="shared" si="39"/>
        <v>1.257936667402956</v>
      </c>
      <c r="DA32" s="202">
        <f t="shared" si="40"/>
        <v>2.4228401056982802</v>
      </c>
      <c r="DB32" s="202">
        <f t="shared" si="41"/>
        <v>0.51919920940899622</v>
      </c>
      <c r="DC32" s="203"/>
    </row>
    <row r="33" spans="1:107" ht="18" x14ac:dyDescent="0.3">
      <c r="A33" s="183" t="s">
        <v>543</v>
      </c>
      <c r="B33" s="74">
        <v>26.115555555555556</v>
      </c>
      <c r="C33" s="74">
        <v>91.773055555555558</v>
      </c>
      <c r="D33" s="74"/>
      <c r="E33" s="74"/>
      <c r="F33" s="190">
        <v>190</v>
      </c>
      <c r="G33" s="74"/>
      <c r="H33" s="74"/>
      <c r="I33" s="74"/>
      <c r="J33" s="74"/>
      <c r="K33" s="74"/>
      <c r="L33" s="74"/>
      <c r="M33" s="190">
        <v>200</v>
      </c>
      <c r="N33" s="74"/>
      <c r="O33" s="74"/>
      <c r="P33" s="74"/>
      <c r="Q33" s="207">
        <v>60</v>
      </c>
      <c r="R33" s="74"/>
      <c r="S33" s="74"/>
      <c r="T33" s="74"/>
      <c r="U33" s="207">
        <v>70</v>
      </c>
      <c r="V33" s="74"/>
      <c r="W33" s="74"/>
      <c r="X33" s="74"/>
      <c r="Y33" s="74"/>
      <c r="Z33" s="206">
        <v>145</v>
      </c>
      <c r="AA33" s="74">
        <v>8.1</v>
      </c>
      <c r="AB33" s="191">
        <v>21.11</v>
      </c>
      <c r="AC33" s="74">
        <v>0.3</v>
      </c>
      <c r="AD33" s="74">
        <v>331</v>
      </c>
      <c r="AE33" s="74">
        <v>-429</v>
      </c>
      <c r="AF33" s="192">
        <f t="shared" si="1"/>
        <v>-224</v>
      </c>
      <c r="AG33" s="193">
        <f t="shared" si="2"/>
        <v>-0.224</v>
      </c>
      <c r="AH33" s="74">
        <v>183</v>
      </c>
      <c r="AI33" s="74">
        <v>331</v>
      </c>
      <c r="AJ33" s="197">
        <v>11.763</v>
      </c>
      <c r="AK33" s="197">
        <v>0</v>
      </c>
      <c r="AL33" s="197">
        <f t="shared" si="3"/>
        <v>8.3176970670973578</v>
      </c>
      <c r="AM33" s="197">
        <f t="shared" si="4"/>
        <v>5.8815</v>
      </c>
      <c r="AN33" s="197">
        <v>37.162999999999997</v>
      </c>
      <c r="AO33" s="197">
        <v>0</v>
      </c>
      <c r="AP33" s="197">
        <f t="shared" si="5"/>
        <v>26.278209309235663</v>
      </c>
      <c r="AQ33" s="197">
        <f t="shared" si="6"/>
        <v>37.162999999999997</v>
      </c>
      <c r="AR33" s="208">
        <f t="shared" si="7"/>
        <v>21.52225</v>
      </c>
      <c r="AS33" s="198">
        <v>1.2E-2</v>
      </c>
      <c r="AT33" s="198">
        <v>7.0000000000000001E-3</v>
      </c>
      <c r="AU33" s="198">
        <f t="shared" si="8"/>
        <v>3.5355339059327385E-3</v>
      </c>
      <c r="AV33" s="198">
        <f t="shared" si="9"/>
        <v>9.4999999999999998E-3</v>
      </c>
      <c r="AW33" s="197">
        <v>32.843000000000004</v>
      </c>
      <c r="AX33" s="197">
        <v>33.762</v>
      </c>
      <c r="AY33" s="197">
        <f t="shared" si="10"/>
        <v>0.64983113191043496</v>
      </c>
      <c r="AZ33" s="197">
        <f t="shared" si="11"/>
        <v>33.302500000000002</v>
      </c>
      <c r="BA33" s="199">
        <f t="shared" si="12"/>
        <v>1.4485645933014355</v>
      </c>
      <c r="BB33" s="197">
        <v>1.2999999999999999E-2</v>
      </c>
      <c r="BC33" s="197">
        <v>0</v>
      </c>
      <c r="BD33" s="197">
        <f t="shared" si="13"/>
        <v>9.1923881554251182E-3</v>
      </c>
      <c r="BE33" s="197">
        <f t="shared" si="14"/>
        <v>1.2999999999999999E-2</v>
      </c>
      <c r="BF33" s="197">
        <v>2.294</v>
      </c>
      <c r="BG33" s="197">
        <v>2.3780000000000001</v>
      </c>
      <c r="BH33" s="197">
        <f t="shared" si="15"/>
        <v>5.9396969619670045E-2</v>
      </c>
      <c r="BI33" s="200">
        <f t="shared" si="16"/>
        <v>2.3360000000000003</v>
      </c>
      <c r="BJ33" s="199">
        <f t="shared" si="17"/>
        <v>5.988208151755961E-2</v>
      </c>
      <c r="BK33" s="197">
        <v>8</v>
      </c>
      <c r="BL33" s="197">
        <v>0</v>
      </c>
      <c r="BM33" s="197">
        <f t="shared" si="18"/>
        <v>5.6568542494923806</v>
      </c>
      <c r="BN33" s="197">
        <f t="shared" si="19"/>
        <v>4</v>
      </c>
      <c r="BO33" s="77">
        <f t="shared" si="20"/>
        <v>0.19961075901991115</v>
      </c>
      <c r="BP33" s="77">
        <f t="shared" si="21"/>
        <v>8.6956400000000003E-2</v>
      </c>
      <c r="BQ33" s="197">
        <v>1.9</v>
      </c>
      <c r="BR33" s="197">
        <v>0</v>
      </c>
      <c r="BS33" s="197">
        <f t="shared" si="22"/>
        <v>1.3435028842544403</v>
      </c>
      <c r="BT33" s="197">
        <f t="shared" si="23"/>
        <v>0.95</v>
      </c>
      <c r="BU33" s="199">
        <f t="shared" si="24"/>
        <v>7.8157136980666397E-2</v>
      </c>
      <c r="BV33" s="199">
        <f t="shared" si="25"/>
        <v>2.0652145E-2</v>
      </c>
      <c r="BW33" s="196">
        <v>228.75816993464053</v>
      </c>
      <c r="BX33" s="196">
        <f t="shared" si="26"/>
        <v>3.7491013939544606</v>
      </c>
      <c r="BY33" s="196">
        <f t="shared" si="0"/>
        <v>4.9729967320261439</v>
      </c>
      <c r="BZ33" s="75">
        <v>0</v>
      </c>
      <c r="CA33" s="75">
        <v>0.156</v>
      </c>
      <c r="CB33" s="77">
        <v>0.23599999999999999</v>
      </c>
      <c r="CC33" s="77">
        <v>0.23699999999999999</v>
      </c>
      <c r="CD33" s="77">
        <f t="shared" si="27"/>
        <v>0.23649999999999999</v>
      </c>
      <c r="CE33" s="77">
        <v>13.82</v>
      </c>
      <c r="CF33" s="77">
        <v>12.99</v>
      </c>
      <c r="CG33" s="77">
        <f t="shared" si="28"/>
        <v>13.405000000000001</v>
      </c>
      <c r="CH33" s="75">
        <f t="shared" si="29"/>
        <v>0.37813822284908322</v>
      </c>
      <c r="CI33" s="75">
        <f t="shared" si="30"/>
        <v>0.29141263550000002</v>
      </c>
      <c r="CJ33" s="77">
        <v>0</v>
      </c>
      <c r="CK33" s="77">
        <v>0</v>
      </c>
      <c r="CL33" s="77">
        <f t="shared" si="31"/>
        <v>0</v>
      </c>
      <c r="CM33" s="77">
        <v>1.139</v>
      </c>
      <c r="CN33" s="77">
        <v>1.2390000000000001</v>
      </c>
      <c r="CO33" s="77">
        <f t="shared" si="32"/>
        <v>1.1890000000000001</v>
      </c>
      <c r="CP33" s="77">
        <v>1.829</v>
      </c>
      <c r="CQ33" s="77">
        <v>1.29</v>
      </c>
      <c r="CR33" s="77">
        <f t="shared" si="33"/>
        <v>1.5594999999999999</v>
      </c>
      <c r="CS33" s="77">
        <v>12.911</v>
      </c>
      <c r="CT33" s="77">
        <v>13.103</v>
      </c>
      <c r="CU33" s="77">
        <f t="shared" si="34"/>
        <v>13.007</v>
      </c>
      <c r="CV33" s="201">
        <f t="shared" si="35"/>
        <v>0.27080991047262126</v>
      </c>
      <c r="CW33" s="202">
        <f t="shared" si="36"/>
        <v>0.27776789600057755</v>
      </c>
      <c r="CX33" s="202">
        <f t="shared" si="37"/>
        <v>4.0199113044270822</v>
      </c>
      <c r="CY33" s="202">
        <f t="shared" si="38"/>
        <v>7.4089192799236286E-2</v>
      </c>
      <c r="CZ33" s="202">
        <f t="shared" si="39"/>
        <v>1.5084466748189951</v>
      </c>
      <c r="DA33" s="202">
        <f t="shared" si="40"/>
        <v>1.7080574338389063</v>
      </c>
      <c r="DB33" s="202">
        <f t="shared" si="41"/>
        <v>0.88313580382875034</v>
      </c>
      <c r="DC33" s="203"/>
    </row>
    <row r="34" spans="1:107" ht="15.6" x14ac:dyDescent="0.3">
      <c r="A34" s="183" t="s">
        <v>544</v>
      </c>
      <c r="B34" s="74">
        <v>26.113611111111112</v>
      </c>
      <c r="C34" s="74">
        <v>91.750277777777782</v>
      </c>
      <c r="D34" s="74"/>
      <c r="E34" s="74"/>
      <c r="F34" s="190">
        <v>600</v>
      </c>
      <c r="G34" s="74"/>
      <c r="H34" s="74"/>
      <c r="I34" s="74"/>
      <c r="J34" s="74"/>
      <c r="K34" s="74"/>
      <c r="L34" s="74"/>
      <c r="M34" s="190">
        <v>500</v>
      </c>
      <c r="N34" s="74"/>
      <c r="O34" s="74"/>
      <c r="P34" s="74"/>
      <c r="Q34" s="190">
        <v>250</v>
      </c>
      <c r="R34" s="74"/>
      <c r="S34" s="74"/>
      <c r="T34" s="74"/>
      <c r="U34" s="190">
        <v>200</v>
      </c>
      <c r="V34" s="74"/>
      <c r="W34" s="74"/>
      <c r="X34" s="74"/>
      <c r="Y34" s="74"/>
      <c r="Z34" s="206">
        <v>180</v>
      </c>
      <c r="AA34" s="74">
        <v>8.6</v>
      </c>
      <c r="AB34" s="191">
        <v>21.44</v>
      </c>
      <c r="AC34" s="74">
        <v>0.2</v>
      </c>
      <c r="AD34" s="74">
        <v>382</v>
      </c>
      <c r="AE34" s="74">
        <v>-329</v>
      </c>
      <c r="AF34" s="192">
        <f t="shared" si="1"/>
        <v>-124</v>
      </c>
      <c r="AG34" s="193">
        <f t="shared" si="2"/>
        <v>-0.124</v>
      </c>
      <c r="AH34" s="74">
        <v>152</v>
      </c>
      <c r="AI34" s="74">
        <v>382</v>
      </c>
      <c r="AJ34" s="197">
        <v>5.476</v>
      </c>
      <c r="AK34" s="197">
        <v>0</v>
      </c>
      <c r="AL34" s="197">
        <f t="shared" si="3"/>
        <v>3.8721167337775344</v>
      </c>
      <c r="AM34" s="197">
        <f t="shared" si="4"/>
        <v>2.738</v>
      </c>
      <c r="AN34" s="197">
        <v>10.496</v>
      </c>
      <c r="AO34" s="197">
        <v>0</v>
      </c>
      <c r="AP34" s="197">
        <f t="shared" si="5"/>
        <v>7.4217927753340032</v>
      </c>
      <c r="AQ34" s="197">
        <f t="shared" si="6"/>
        <v>10.496</v>
      </c>
      <c r="AR34" s="77">
        <f t="shared" si="7"/>
        <v>6.617</v>
      </c>
      <c r="AS34" s="209">
        <v>0</v>
      </c>
      <c r="AT34" s="209">
        <v>0</v>
      </c>
      <c r="AU34" s="198">
        <f t="shared" si="8"/>
        <v>0</v>
      </c>
      <c r="AV34" s="198">
        <f t="shared" si="9"/>
        <v>0</v>
      </c>
      <c r="AW34" s="197">
        <v>0</v>
      </c>
      <c r="AX34" s="197">
        <v>0</v>
      </c>
      <c r="AY34" s="197">
        <f t="shared" si="10"/>
        <v>0</v>
      </c>
      <c r="AZ34" s="197">
        <f t="shared" si="11"/>
        <v>0</v>
      </c>
      <c r="BA34" s="199">
        <f t="shared" si="12"/>
        <v>0</v>
      </c>
      <c r="BB34" s="197">
        <v>0</v>
      </c>
      <c r="BC34" s="197">
        <v>0</v>
      </c>
      <c r="BD34" s="197">
        <f t="shared" si="13"/>
        <v>0</v>
      </c>
      <c r="BE34" s="197">
        <f t="shared" si="14"/>
        <v>0</v>
      </c>
      <c r="BF34" s="197">
        <v>0</v>
      </c>
      <c r="BG34" s="197">
        <v>0</v>
      </c>
      <c r="BH34" s="197">
        <f t="shared" si="15"/>
        <v>0</v>
      </c>
      <c r="BI34" s="200">
        <f t="shared" si="16"/>
        <v>0</v>
      </c>
      <c r="BJ34" s="199">
        <f t="shared" si="17"/>
        <v>0</v>
      </c>
      <c r="BK34" s="197">
        <v>9</v>
      </c>
      <c r="BL34" s="197">
        <v>0</v>
      </c>
      <c r="BM34" s="197">
        <f t="shared" si="18"/>
        <v>6.3639610306789276</v>
      </c>
      <c r="BN34" s="197">
        <f t="shared" si="19"/>
        <v>4.5</v>
      </c>
      <c r="BO34" s="77">
        <f t="shared" si="20"/>
        <v>0.22456210389740006</v>
      </c>
      <c r="BP34" s="77">
        <f t="shared" si="21"/>
        <v>9.7825950000000009E-2</v>
      </c>
      <c r="BQ34" s="197">
        <v>1.1000000000000001</v>
      </c>
      <c r="BR34" s="197">
        <v>0</v>
      </c>
      <c r="BS34" s="197">
        <f t="shared" si="22"/>
        <v>0.7778174593052023</v>
      </c>
      <c r="BT34" s="197">
        <f t="shared" si="23"/>
        <v>0.55000000000000004</v>
      </c>
      <c r="BU34" s="199">
        <f t="shared" si="24"/>
        <v>4.5248868778280549E-2</v>
      </c>
      <c r="BV34" s="199">
        <f t="shared" si="25"/>
        <v>1.1956505000000001E-2</v>
      </c>
      <c r="BW34" s="196">
        <v>212.00000000000003</v>
      </c>
      <c r="BX34" s="196">
        <f t="shared" si="26"/>
        <v>3.4744529375516255</v>
      </c>
      <c r="BY34" s="196">
        <f t="shared" si="0"/>
        <v>4.6086892000000006</v>
      </c>
      <c r="BZ34" s="75">
        <v>0.14000000000000001</v>
      </c>
      <c r="CA34" s="75">
        <v>0.24099999999999999</v>
      </c>
      <c r="CB34" s="77">
        <v>0.47799999999999998</v>
      </c>
      <c r="CC34" s="77">
        <v>0.501</v>
      </c>
      <c r="CD34" s="77">
        <f t="shared" si="27"/>
        <v>0.48949999999999999</v>
      </c>
      <c r="CE34" s="77">
        <v>2.097</v>
      </c>
      <c r="CF34" s="77">
        <v>3.0070000000000001</v>
      </c>
      <c r="CG34" s="77">
        <f t="shared" si="28"/>
        <v>2.552</v>
      </c>
      <c r="CH34" s="75">
        <f t="shared" si="29"/>
        <v>7.1988716502115649E-2</v>
      </c>
      <c r="CI34" s="75">
        <f t="shared" si="30"/>
        <v>5.5478183200000003E-2</v>
      </c>
      <c r="CJ34" s="77">
        <v>0</v>
      </c>
      <c r="CK34" s="77">
        <v>0</v>
      </c>
      <c r="CL34" s="77">
        <f t="shared" si="31"/>
        <v>0</v>
      </c>
      <c r="CM34" s="77">
        <v>0.219</v>
      </c>
      <c r="CN34" s="77">
        <v>0.20799999999999999</v>
      </c>
      <c r="CO34" s="77">
        <f t="shared" si="32"/>
        <v>0.2135</v>
      </c>
      <c r="CP34" s="77">
        <v>0.158</v>
      </c>
      <c r="CQ34" s="77">
        <v>0.14399999999999999</v>
      </c>
      <c r="CR34" s="77">
        <f t="shared" si="33"/>
        <v>0.151</v>
      </c>
      <c r="CS34" s="77">
        <v>0</v>
      </c>
      <c r="CT34" s="77">
        <v>0</v>
      </c>
      <c r="CU34" s="77">
        <f t="shared" si="34"/>
        <v>0</v>
      </c>
      <c r="CV34" s="201">
        <f t="shared" si="35"/>
        <v>0</v>
      </c>
      <c r="CW34" s="202">
        <f t="shared" si="36"/>
        <v>0.2698109726756806</v>
      </c>
      <c r="CX34" s="202">
        <f t="shared" si="37"/>
        <v>3.4744529375516255</v>
      </c>
      <c r="CY34" s="202">
        <f t="shared" si="38"/>
        <v>7.7655670554516346E-2</v>
      </c>
      <c r="CZ34" s="202">
        <f t="shared" si="39"/>
        <v>0</v>
      </c>
      <c r="DA34" s="202">
        <f t="shared" si="40"/>
        <v>0.22456210389740006</v>
      </c>
      <c r="DB34" s="202">
        <f t="shared" si="41"/>
        <v>0</v>
      </c>
      <c r="DC34" s="203"/>
    </row>
    <row r="35" spans="1:107" ht="115.2" x14ac:dyDescent="0.3">
      <c r="A35" s="183" t="s">
        <v>545</v>
      </c>
      <c r="B35" s="183">
        <v>26.159300000000002</v>
      </c>
      <c r="C35" s="183">
        <v>91.768029999999996</v>
      </c>
      <c r="D35" s="211" t="s">
        <v>546</v>
      </c>
      <c r="E35" s="212" t="s">
        <v>547</v>
      </c>
      <c r="F35" s="190">
        <v>280</v>
      </c>
      <c r="G35" s="212"/>
      <c r="H35" s="212"/>
      <c r="I35" s="212"/>
      <c r="J35" s="212"/>
      <c r="K35" s="212"/>
      <c r="L35" s="212"/>
      <c r="M35" s="190">
        <v>310</v>
      </c>
      <c r="N35" s="212"/>
      <c r="O35" s="212"/>
      <c r="P35" s="212"/>
      <c r="Q35" s="190">
        <v>170</v>
      </c>
      <c r="R35" s="212"/>
      <c r="S35" s="212"/>
      <c r="T35" s="212"/>
      <c r="U35" s="190">
        <v>220</v>
      </c>
      <c r="V35" s="212"/>
      <c r="W35" s="212"/>
      <c r="X35" s="212"/>
      <c r="Y35" s="183"/>
      <c r="Z35" s="183">
        <v>100</v>
      </c>
      <c r="AA35" s="183">
        <v>7.2</v>
      </c>
      <c r="AB35" s="191">
        <v>21.68</v>
      </c>
      <c r="AC35" s="183">
        <v>2</v>
      </c>
      <c r="AD35" s="183">
        <v>266</v>
      </c>
      <c r="AE35" s="183">
        <v>164</v>
      </c>
      <c r="AF35" s="192">
        <f t="shared" si="1"/>
        <v>369</v>
      </c>
      <c r="AG35" s="193">
        <f t="shared" si="2"/>
        <v>0.36899999999999999</v>
      </c>
      <c r="AH35" s="183">
        <v>101</v>
      </c>
      <c r="AI35" s="183">
        <v>266</v>
      </c>
      <c r="AJ35" s="194">
        <v>0</v>
      </c>
      <c r="AK35" s="194">
        <v>0</v>
      </c>
      <c r="AL35" s="196">
        <f t="shared" si="3"/>
        <v>0</v>
      </c>
      <c r="AM35" s="196">
        <f t="shared" si="4"/>
        <v>0</v>
      </c>
      <c r="AN35" s="196">
        <v>0</v>
      </c>
      <c r="AO35" s="196">
        <v>0</v>
      </c>
      <c r="AP35" s="196">
        <f t="shared" si="5"/>
        <v>0</v>
      </c>
      <c r="AQ35" s="196">
        <f t="shared" si="6"/>
        <v>0</v>
      </c>
      <c r="AR35" s="191">
        <f t="shared" si="7"/>
        <v>0</v>
      </c>
      <c r="AS35" s="209">
        <v>2.1000000000000001E-2</v>
      </c>
      <c r="AT35" s="209">
        <v>2.5000000000000001E-2</v>
      </c>
      <c r="AU35" s="209">
        <f t="shared" si="8"/>
        <v>2.8284271247461905E-3</v>
      </c>
      <c r="AV35" s="209">
        <f t="shared" si="9"/>
        <v>2.3E-2</v>
      </c>
      <c r="AW35" s="196">
        <v>5.0250000000000004</v>
      </c>
      <c r="AX35" s="196">
        <v>4.8319999999999999</v>
      </c>
      <c r="AY35" s="196">
        <f t="shared" si="10"/>
        <v>0.13647160876900405</v>
      </c>
      <c r="AZ35" s="196">
        <f t="shared" si="11"/>
        <v>4.9284999999999997</v>
      </c>
      <c r="BA35" s="199">
        <f t="shared" si="12"/>
        <v>0.21437581557198782</v>
      </c>
      <c r="BB35" s="196">
        <v>0.02</v>
      </c>
      <c r="BC35" s="196">
        <v>3.9E-2</v>
      </c>
      <c r="BD35" s="196">
        <f t="shared" si="13"/>
        <v>1.3435028842544407E-2</v>
      </c>
      <c r="BE35" s="196">
        <f t="shared" si="14"/>
        <v>5.8999999999999997E-2</v>
      </c>
      <c r="BF35" s="196">
        <v>1.6E-2</v>
      </c>
      <c r="BG35" s="196">
        <v>0</v>
      </c>
      <c r="BH35" s="196">
        <f t="shared" si="15"/>
        <v>1.131370849898476E-2</v>
      </c>
      <c r="BI35" s="213">
        <f t="shared" si="16"/>
        <v>8.0000000000000002E-3</v>
      </c>
      <c r="BJ35" s="199">
        <f t="shared" si="17"/>
        <v>2.050756216354781E-4</v>
      </c>
      <c r="BK35" s="196">
        <v>14</v>
      </c>
      <c r="BL35" s="196">
        <v>0</v>
      </c>
      <c r="BM35" s="196">
        <f t="shared" si="18"/>
        <v>9.8994949366116654</v>
      </c>
      <c r="BN35" s="196">
        <f t="shared" si="19"/>
        <v>7</v>
      </c>
      <c r="BO35" s="191">
        <f t="shared" si="20"/>
        <v>0.34931882828484451</v>
      </c>
      <c r="BP35" s="191">
        <f t="shared" si="21"/>
        <v>0.1521737</v>
      </c>
      <c r="BQ35" s="196">
        <v>1.9</v>
      </c>
      <c r="BR35" s="196">
        <v>0</v>
      </c>
      <c r="BS35" s="196">
        <f t="shared" si="22"/>
        <v>1.3435028842544403</v>
      </c>
      <c r="BT35" s="196">
        <f t="shared" si="23"/>
        <v>0.95</v>
      </c>
      <c r="BU35" s="199">
        <f t="shared" si="24"/>
        <v>7.8157136980666397E-2</v>
      </c>
      <c r="BV35" s="199">
        <f t="shared" si="25"/>
        <v>2.0652145E-2</v>
      </c>
      <c r="BW35" s="196">
        <v>97.999999999999957</v>
      </c>
      <c r="BX35" s="196">
        <f t="shared" si="26"/>
        <v>1.6061150371700901</v>
      </c>
      <c r="BY35" s="196">
        <f t="shared" si="0"/>
        <v>2.1304317999999993</v>
      </c>
      <c r="BZ35" s="214">
        <v>0</v>
      </c>
      <c r="CA35" s="214">
        <v>0.19500000000000001</v>
      </c>
      <c r="CB35" s="191">
        <v>1.7000000000000001E-2</v>
      </c>
      <c r="CC35" s="191">
        <v>1.2E-2</v>
      </c>
      <c r="CD35" s="191">
        <f t="shared" si="27"/>
        <v>1.4500000000000001E-2</v>
      </c>
      <c r="CE35" s="191">
        <v>1.1259999999999999</v>
      </c>
      <c r="CF35" s="191">
        <v>1.103</v>
      </c>
      <c r="CG35" s="191">
        <f t="shared" si="28"/>
        <v>1.1145</v>
      </c>
      <c r="CH35" s="214">
        <f t="shared" si="29"/>
        <v>3.1438645980253879E-2</v>
      </c>
      <c r="CI35" s="214">
        <f t="shared" si="30"/>
        <v>2.4228226950000001E-2</v>
      </c>
      <c r="CJ35" s="191">
        <v>0</v>
      </c>
      <c r="CK35" s="191">
        <v>0</v>
      </c>
      <c r="CL35" s="191">
        <f t="shared" si="31"/>
        <v>0</v>
      </c>
      <c r="CM35" s="191">
        <v>0.33800000000000002</v>
      </c>
      <c r="CN35" s="191">
        <v>0.28000000000000003</v>
      </c>
      <c r="CO35" s="191">
        <f t="shared" si="32"/>
        <v>0.30900000000000005</v>
      </c>
      <c r="CP35" s="191">
        <v>0.15</v>
      </c>
      <c r="CQ35" s="191">
        <v>0.13</v>
      </c>
      <c r="CR35" s="191">
        <f t="shared" si="33"/>
        <v>0.14000000000000001</v>
      </c>
      <c r="CS35" s="191">
        <v>0</v>
      </c>
      <c r="CT35" s="191">
        <v>0</v>
      </c>
      <c r="CU35" s="191">
        <f t="shared" si="34"/>
        <v>0</v>
      </c>
      <c r="CV35" s="201">
        <f t="shared" si="35"/>
        <v>0</v>
      </c>
      <c r="CW35" s="202">
        <f t="shared" si="36"/>
        <v>0.4274759652655109</v>
      </c>
      <c r="CX35" s="202">
        <f t="shared" si="37"/>
        <v>1.6061150371700901</v>
      </c>
      <c r="CY35" s="202">
        <f t="shared" si="38"/>
        <v>0.26615525997359835</v>
      </c>
      <c r="CZ35" s="202">
        <f t="shared" si="39"/>
        <v>0.21458089119362328</v>
      </c>
      <c r="DA35" s="202">
        <f t="shared" si="40"/>
        <v>0.56389971947846784</v>
      </c>
      <c r="DB35" s="202">
        <f t="shared" si="41"/>
        <v>0.38053023220526166</v>
      </c>
      <c r="DC35" s="203"/>
    </row>
    <row r="36" spans="1:107" ht="15.6" x14ac:dyDescent="0.3">
      <c r="A36" s="183" t="s">
        <v>548</v>
      </c>
      <c r="B36" s="183">
        <v>26.169443000000001</v>
      </c>
      <c r="C36" s="183">
        <v>91.673224000000005</v>
      </c>
      <c r="D36" s="211" t="s">
        <v>549</v>
      </c>
      <c r="E36" s="183" t="s">
        <v>550</v>
      </c>
      <c r="F36" s="190">
        <v>420</v>
      </c>
      <c r="G36" s="183"/>
      <c r="H36" s="183"/>
      <c r="I36" s="183"/>
      <c r="J36" s="183"/>
      <c r="K36" s="183"/>
      <c r="L36" s="183"/>
      <c r="M36" s="190">
        <v>440</v>
      </c>
      <c r="N36" s="183"/>
      <c r="O36" s="183"/>
      <c r="P36" s="183"/>
      <c r="Q36" s="190">
        <v>200</v>
      </c>
      <c r="R36" s="183"/>
      <c r="S36" s="183"/>
      <c r="T36" s="183"/>
      <c r="U36" s="190">
        <v>190</v>
      </c>
      <c r="V36" s="183"/>
      <c r="W36" s="183"/>
      <c r="X36" s="183"/>
      <c r="Y36" s="183" t="s">
        <v>551</v>
      </c>
      <c r="Z36" s="206">
        <v>80</v>
      </c>
      <c r="AA36" s="183">
        <v>6.6</v>
      </c>
      <c r="AB36" s="191">
        <v>23.47</v>
      </c>
      <c r="AC36" s="183">
        <v>0.1</v>
      </c>
      <c r="AD36" s="183">
        <v>381</v>
      </c>
      <c r="AE36" s="183">
        <v>-262</v>
      </c>
      <c r="AF36" s="192">
        <f t="shared" si="1"/>
        <v>-57</v>
      </c>
      <c r="AG36" s="193">
        <f t="shared" si="2"/>
        <v>-5.7000000000000002E-2</v>
      </c>
      <c r="AH36" s="183">
        <v>118</v>
      </c>
      <c r="AI36" s="183">
        <v>381</v>
      </c>
      <c r="AJ36" s="195">
        <v>0</v>
      </c>
      <c r="AK36" s="195">
        <v>0</v>
      </c>
      <c r="AL36" s="197">
        <f t="shared" si="3"/>
        <v>0</v>
      </c>
      <c r="AM36" s="197">
        <f t="shared" si="4"/>
        <v>0</v>
      </c>
      <c r="AN36" s="197">
        <v>2.3479999999999999</v>
      </c>
      <c r="AO36" s="197">
        <v>2.2429999999999999</v>
      </c>
      <c r="AP36" s="197">
        <f t="shared" si="5"/>
        <v>7.4246212024587477E-2</v>
      </c>
      <c r="AQ36" s="197">
        <f t="shared" si="6"/>
        <v>4.5909999999999993</v>
      </c>
      <c r="AR36" s="77">
        <f t="shared" si="7"/>
        <v>2.2954999999999997</v>
      </c>
      <c r="AS36" s="198">
        <v>1.4999999999999999E-2</v>
      </c>
      <c r="AT36" s="198">
        <v>1.4E-2</v>
      </c>
      <c r="AU36" s="198">
        <f t="shared" si="8"/>
        <v>7.0710678118654697E-4</v>
      </c>
      <c r="AV36" s="198">
        <f t="shared" si="9"/>
        <v>1.4499999999999999E-2</v>
      </c>
      <c r="AW36" s="197">
        <v>26.23</v>
      </c>
      <c r="AX36" s="197">
        <v>25.815000000000001</v>
      </c>
      <c r="AY36" s="197">
        <f t="shared" si="10"/>
        <v>0.2934493141924166</v>
      </c>
      <c r="AZ36" s="197">
        <f t="shared" si="11"/>
        <v>26.022500000000001</v>
      </c>
      <c r="BA36" s="199">
        <f t="shared" si="12"/>
        <v>1.1319051761635495</v>
      </c>
      <c r="BB36" s="197">
        <v>0.20799999999999999</v>
      </c>
      <c r="BC36" s="197">
        <v>0.21099999999999999</v>
      </c>
      <c r="BD36" s="197">
        <f t="shared" si="13"/>
        <v>2.1213203435596446E-3</v>
      </c>
      <c r="BE36" s="197">
        <f t="shared" si="14"/>
        <v>0.41899999999999998</v>
      </c>
      <c r="BF36" s="197">
        <v>0</v>
      </c>
      <c r="BG36" s="197">
        <v>0</v>
      </c>
      <c r="BH36" s="197">
        <f t="shared" si="15"/>
        <v>0</v>
      </c>
      <c r="BI36" s="200">
        <f t="shared" si="16"/>
        <v>0</v>
      </c>
      <c r="BJ36" s="199">
        <f t="shared" si="17"/>
        <v>0</v>
      </c>
      <c r="BK36" s="197">
        <v>16</v>
      </c>
      <c r="BL36" s="197">
        <v>0</v>
      </c>
      <c r="BM36" s="197">
        <f t="shared" si="18"/>
        <v>11.313708498984761</v>
      </c>
      <c r="BN36" s="197">
        <f t="shared" si="19"/>
        <v>8</v>
      </c>
      <c r="BO36" s="77">
        <f t="shared" si="20"/>
        <v>0.39922151803982231</v>
      </c>
      <c r="BP36" s="77">
        <f t="shared" si="21"/>
        <v>0.17391280000000001</v>
      </c>
      <c r="BQ36" s="197">
        <v>1.3</v>
      </c>
      <c r="BR36" s="197">
        <v>0</v>
      </c>
      <c r="BS36" s="197">
        <f t="shared" si="22"/>
        <v>0.91923881554251186</v>
      </c>
      <c r="BT36" s="197">
        <f t="shared" si="23"/>
        <v>0.65</v>
      </c>
      <c r="BU36" s="199">
        <f t="shared" si="24"/>
        <v>5.3475935828877011E-2</v>
      </c>
      <c r="BV36" s="199">
        <f t="shared" si="25"/>
        <v>1.4130415E-2</v>
      </c>
      <c r="BW36" s="196">
        <v>252.00000000000009</v>
      </c>
      <c r="BX36" s="196">
        <f t="shared" si="26"/>
        <v>4.1300100955802348</v>
      </c>
      <c r="BY36" s="196">
        <f t="shared" si="0"/>
        <v>5.4782532000000019</v>
      </c>
      <c r="BZ36" s="75">
        <v>0.23</v>
      </c>
      <c r="CA36" s="75">
        <v>0.45400000000000001</v>
      </c>
      <c r="CB36" s="77">
        <v>0.65500000000000003</v>
      </c>
      <c r="CC36" s="77">
        <v>0.64500000000000002</v>
      </c>
      <c r="CD36" s="77">
        <f t="shared" si="27"/>
        <v>0.65</v>
      </c>
      <c r="CE36" s="77">
        <v>3.6749999999999998</v>
      </c>
      <c r="CF36" s="77">
        <v>3.7440000000000002</v>
      </c>
      <c r="CG36" s="77">
        <f t="shared" si="28"/>
        <v>3.7095000000000002</v>
      </c>
      <c r="CH36" s="75">
        <f t="shared" si="29"/>
        <v>0.10464033850493652</v>
      </c>
      <c r="CI36" s="75">
        <f t="shared" si="30"/>
        <v>8.064119145000001E-2</v>
      </c>
      <c r="CJ36" s="77">
        <v>0</v>
      </c>
      <c r="CK36" s="77">
        <v>0</v>
      </c>
      <c r="CL36" s="77">
        <f t="shared" si="31"/>
        <v>0</v>
      </c>
      <c r="CM36" s="77">
        <v>0.11</v>
      </c>
      <c r="CN36" s="77">
        <v>0.19400000000000001</v>
      </c>
      <c r="CO36" s="77">
        <f t="shared" si="32"/>
        <v>0.152</v>
      </c>
      <c r="CP36" s="77">
        <v>1.587</v>
      </c>
      <c r="CQ36" s="77">
        <v>1.573</v>
      </c>
      <c r="CR36" s="77">
        <f t="shared" si="33"/>
        <v>1.58</v>
      </c>
      <c r="CS36" s="77">
        <v>0</v>
      </c>
      <c r="CT36" s="77">
        <v>0</v>
      </c>
      <c r="CU36" s="77">
        <f t="shared" si="34"/>
        <v>0</v>
      </c>
      <c r="CV36" s="201">
        <f t="shared" si="35"/>
        <v>0</v>
      </c>
      <c r="CW36" s="202">
        <f t="shared" si="36"/>
        <v>0.45269745386869931</v>
      </c>
      <c r="CX36" s="202">
        <f t="shared" si="37"/>
        <v>4.1300100955802348</v>
      </c>
      <c r="CY36" s="202">
        <f t="shared" si="38"/>
        <v>0.10961170636196685</v>
      </c>
      <c r="CZ36" s="202">
        <f t="shared" si="39"/>
        <v>1.1319051761635495</v>
      </c>
      <c r="DA36" s="202">
        <f t="shared" si="40"/>
        <v>1.5311266942033717</v>
      </c>
      <c r="DB36" s="202">
        <f t="shared" si="41"/>
        <v>0.73926291041021086</v>
      </c>
      <c r="DC36" s="203"/>
    </row>
    <row r="37" spans="1:107" ht="18" x14ac:dyDescent="0.3">
      <c r="A37" s="183" t="s">
        <v>552</v>
      </c>
      <c r="B37" s="183">
        <v>26.168942999999999</v>
      </c>
      <c r="C37" s="183">
        <v>91.673507999999998</v>
      </c>
      <c r="D37" s="211" t="s">
        <v>553</v>
      </c>
      <c r="E37" s="183" t="s">
        <v>554</v>
      </c>
      <c r="F37" s="190">
        <v>2</v>
      </c>
      <c r="G37" s="183"/>
      <c r="H37" s="183"/>
      <c r="I37" s="183"/>
      <c r="J37" s="183"/>
      <c r="K37" s="183"/>
      <c r="L37" s="183"/>
      <c r="M37" s="190">
        <v>3</v>
      </c>
      <c r="N37" s="183"/>
      <c r="O37" s="183"/>
      <c r="P37" s="183"/>
      <c r="Q37" s="207">
        <v>1</v>
      </c>
      <c r="R37" s="183"/>
      <c r="S37" s="183"/>
      <c r="T37" s="183"/>
      <c r="U37" s="207">
        <v>1</v>
      </c>
      <c r="V37" s="183"/>
      <c r="W37" s="183"/>
      <c r="X37" s="183"/>
      <c r="Y37" s="183" t="s">
        <v>555</v>
      </c>
      <c r="Z37" s="206">
        <v>100</v>
      </c>
      <c r="AA37" s="183">
        <v>8.6</v>
      </c>
      <c r="AB37" s="191">
        <v>22.23</v>
      </c>
      <c r="AC37" s="183">
        <v>0.2</v>
      </c>
      <c r="AD37" s="183">
        <v>369</v>
      </c>
      <c r="AE37" s="183">
        <v>-338</v>
      </c>
      <c r="AF37" s="192">
        <f t="shared" si="1"/>
        <v>-133</v>
      </c>
      <c r="AG37" s="193">
        <f t="shared" si="2"/>
        <v>-0.13300000000000001</v>
      </c>
      <c r="AH37" s="183">
        <v>531</v>
      </c>
      <c r="AI37" s="183">
        <v>369</v>
      </c>
      <c r="AJ37" s="195">
        <v>0</v>
      </c>
      <c r="AK37" s="195">
        <v>0</v>
      </c>
      <c r="AL37" s="197">
        <f t="shared" si="3"/>
        <v>0</v>
      </c>
      <c r="AM37" s="197">
        <f t="shared" si="4"/>
        <v>0</v>
      </c>
      <c r="AN37" s="197">
        <v>17.823</v>
      </c>
      <c r="AO37" s="197">
        <v>18.073</v>
      </c>
      <c r="AP37" s="197">
        <f t="shared" si="5"/>
        <v>0.17677669529663689</v>
      </c>
      <c r="AQ37" s="197">
        <f t="shared" si="6"/>
        <v>35.896000000000001</v>
      </c>
      <c r="AR37" s="208">
        <f t="shared" si="7"/>
        <v>17.948</v>
      </c>
      <c r="AS37" s="209">
        <v>4.1000000000000002E-2</v>
      </c>
      <c r="AT37" s="209">
        <v>0.13900000000000001</v>
      </c>
      <c r="AU37" s="198">
        <f t="shared" si="8"/>
        <v>6.9296464556281689E-2</v>
      </c>
      <c r="AV37" s="198">
        <f t="shared" si="9"/>
        <v>9.0000000000000011E-2</v>
      </c>
      <c r="AW37" s="196">
        <v>92.438000000000002</v>
      </c>
      <c r="AX37" s="196">
        <v>90.635999999999996</v>
      </c>
      <c r="AY37" s="196">
        <f t="shared" si="10"/>
        <v>1.2742064196981633</v>
      </c>
      <c r="AZ37" s="197">
        <f t="shared" si="11"/>
        <v>91.537000000000006</v>
      </c>
      <c r="BA37" s="199">
        <f t="shared" si="12"/>
        <v>3.9816006959547634</v>
      </c>
      <c r="BB37" s="196">
        <v>0.159</v>
      </c>
      <c r="BC37" s="196">
        <v>0.106</v>
      </c>
      <c r="BD37" s="196">
        <f t="shared" si="13"/>
        <v>3.7476659402886969E-2</v>
      </c>
      <c r="BE37" s="196">
        <f t="shared" si="14"/>
        <v>0.26500000000000001</v>
      </c>
      <c r="BF37" s="197">
        <v>0</v>
      </c>
      <c r="BG37" s="197">
        <v>0</v>
      </c>
      <c r="BH37" s="197">
        <f t="shared" si="15"/>
        <v>0</v>
      </c>
      <c r="BI37" s="200">
        <f t="shared" si="16"/>
        <v>0</v>
      </c>
      <c r="BJ37" s="199">
        <f t="shared" si="17"/>
        <v>0</v>
      </c>
      <c r="BK37" s="197">
        <v>17</v>
      </c>
      <c r="BL37" s="197">
        <v>0</v>
      </c>
      <c r="BM37" s="197">
        <f t="shared" si="18"/>
        <v>12.020815280171307</v>
      </c>
      <c r="BN37" s="197">
        <f t="shared" si="19"/>
        <v>8.5</v>
      </c>
      <c r="BO37" s="77">
        <f t="shared" si="20"/>
        <v>0.42417286291731121</v>
      </c>
      <c r="BP37" s="77">
        <f t="shared" si="21"/>
        <v>0.18478235000000001</v>
      </c>
      <c r="BQ37" s="196">
        <v>2678.453</v>
      </c>
      <c r="BR37" s="196">
        <v>2642.58</v>
      </c>
      <c r="BS37" s="197">
        <f t="shared" si="22"/>
        <v>25.366041561505053</v>
      </c>
      <c r="BT37" s="197">
        <f t="shared" si="23"/>
        <v>2660.5164999999997</v>
      </c>
      <c r="BU37" s="199">
        <f t="shared" si="24"/>
        <v>218.88247634718221</v>
      </c>
      <c r="BV37" s="199">
        <f t="shared" si="25"/>
        <v>57.837234245149993</v>
      </c>
      <c r="BW37" s="196">
        <v>418</v>
      </c>
      <c r="BX37" s="196">
        <f t="shared" si="26"/>
        <v>6.8505723013989588</v>
      </c>
      <c r="BY37" s="196">
        <f t="shared" si="0"/>
        <v>9.0869438000000002</v>
      </c>
      <c r="BZ37" s="75">
        <v>0</v>
      </c>
      <c r="CA37" s="75">
        <v>4.5999999999999999E-2</v>
      </c>
      <c r="CB37" s="77">
        <v>0.49399999999999999</v>
      </c>
      <c r="CC37" s="77">
        <v>0.53200000000000003</v>
      </c>
      <c r="CD37" s="77">
        <f t="shared" si="27"/>
        <v>0.51300000000000001</v>
      </c>
      <c r="CE37" s="77">
        <v>84.182000000000002</v>
      </c>
      <c r="CF37" s="77">
        <v>85.932000000000002</v>
      </c>
      <c r="CG37" s="77">
        <f t="shared" si="28"/>
        <v>85.057000000000002</v>
      </c>
      <c r="CH37" s="75">
        <f t="shared" si="29"/>
        <v>2.39935119887165</v>
      </c>
      <c r="CI37" s="75">
        <f t="shared" si="30"/>
        <v>1.8490626287</v>
      </c>
      <c r="CJ37" s="77">
        <v>0.20100000000000001</v>
      </c>
      <c r="CK37" s="77">
        <v>0.19800000000000001</v>
      </c>
      <c r="CL37" s="77">
        <f t="shared" si="31"/>
        <v>0.19950000000000001</v>
      </c>
      <c r="CM37" s="77">
        <v>35.713000000000001</v>
      </c>
      <c r="CN37" s="77">
        <v>34.72</v>
      </c>
      <c r="CO37" s="77">
        <f t="shared" si="32"/>
        <v>35.216499999999996</v>
      </c>
      <c r="CP37" s="77">
        <v>6.694</v>
      </c>
      <c r="CQ37" s="77">
        <v>6.032</v>
      </c>
      <c r="CR37" s="77">
        <f t="shared" si="33"/>
        <v>6.3629999999999995</v>
      </c>
      <c r="CS37" s="77">
        <v>0</v>
      </c>
      <c r="CT37" s="77">
        <v>0</v>
      </c>
      <c r="CU37" s="77">
        <f t="shared" si="34"/>
        <v>0</v>
      </c>
      <c r="CV37" s="201">
        <f t="shared" si="35"/>
        <v>0</v>
      </c>
      <c r="CW37" s="202">
        <v>0.2</v>
      </c>
      <c r="CX37" s="202">
        <f t="shared" si="37"/>
        <v>6.8505723013989588</v>
      </c>
      <c r="CY37" s="202">
        <f t="shared" si="38"/>
        <v>2.9194641148325363E-2</v>
      </c>
      <c r="CZ37" s="202">
        <f t="shared" si="39"/>
        <v>3.9816006959547634</v>
      </c>
      <c r="DA37" s="202">
        <f t="shared" si="40"/>
        <v>4.4057735588720748</v>
      </c>
      <c r="DB37" s="202">
        <f t="shared" si="41"/>
        <v>0.90372340810318352</v>
      </c>
      <c r="DC37" s="203"/>
    </row>
    <row r="38" spans="1:107" ht="18" x14ac:dyDescent="0.3">
      <c r="A38" s="183" t="s">
        <v>556</v>
      </c>
      <c r="B38" s="183">
        <v>26.16818</v>
      </c>
      <c r="C38" s="183">
        <v>91.682659999999998</v>
      </c>
      <c r="D38" s="211" t="s">
        <v>557</v>
      </c>
      <c r="E38" s="183" t="s">
        <v>558</v>
      </c>
      <c r="F38" s="190">
        <v>200</v>
      </c>
      <c r="G38" s="183"/>
      <c r="H38" s="183"/>
      <c r="I38" s="183"/>
      <c r="J38" s="183"/>
      <c r="K38" s="183"/>
      <c r="L38" s="183"/>
      <c r="M38" s="190">
        <v>150</v>
      </c>
      <c r="N38" s="183"/>
      <c r="O38" s="183"/>
      <c r="P38" s="183"/>
      <c r="Q38" s="190">
        <v>100</v>
      </c>
      <c r="R38" s="183"/>
      <c r="S38" s="183"/>
      <c r="T38" s="183"/>
      <c r="U38" s="207">
        <v>100</v>
      </c>
      <c r="V38" s="183"/>
      <c r="W38" s="183"/>
      <c r="X38" s="183"/>
      <c r="Y38" s="183">
        <v>220</v>
      </c>
      <c r="Z38" s="206">
        <v>60</v>
      </c>
      <c r="AA38" s="183">
        <v>8.9</v>
      </c>
      <c r="AB38" s="191">
        <v>21.68</v>
      </c>
      <c r="AC38" s="183">
        <v>0.1</v>
      </c>
      <c r="AD38" s="183">
        <v>342</v>
      </c>
      <c r="AE38" s="183">
        <v>-302</v>
      </c>
      <c r="AF38" s="192">
        <f t="shared" si="1"/>
        <v>-97</v>
      </c>
      <c r="AG38" s="193">
        <f t="shared" si="2"/>
        <v>-9.7000000000000003E-2</v>
      </c>
      <c r="AH38" s="183">
        <v>288</v>
      </c>
      <c r="AI38" s="183">
        <v>342</v>
      </c>
      <c r="AJ38" s="195">
        <v>0</v>
      </c>
      <c r="AK38" s="195">
        <v>0</v>
      </c>
      <c r="AL38" s="197">
        <f t="shared" si="3"/>
        <v>0</v>
      </c>
      <c r="AM38" s="197">
        <f t="shared" si="4"/>
        <v>0</v>
      </c>
      <c r="AN38" s="197">
        <v>7.7039999999999997</v>
      </c>
      <c r="AO38" s="197">
        <v>7.5720000000000001</v>
      </c>
      <c r="AP38" s="197">
        <f t="shared" si="5"/>
        <v>9.333809511662404E-2</v>
      </c>
      <c r="AQ38" s="197">
        <f t="shared" si="6"/>
        <v>15.276</v>
      </c>
      <c r="AR38" s="77">
        <f t="shared" si="7"/>
        <v>7.6379999999999999</v>
      </c>
      <c r="AS38" s="209">
        <v>0.02</v>
      </c>
      <c r="AT38" s="209">
        <v>1.7000000000000001E-2</v>
      </c>
      <c r="AU38" s="198">
        <f t="shared" si="8"/>
        <v>2.121320343559642E-3</v>
      </c>
      <c r="AV38" s="198">
        <f t="shared" si="9"/>
        <v>1.8500000000000003E-2</v>
      </c>
      <c r="AW38" s="196">
        <v>29.731999999999999</v>
      </c>
      <c r="AX38" s="196">
        <v>28.036999999999999</v>
      </c>
      <c r="AY38" s="196">
        <f t="shared" si="10"/>
        <v>1.1985459941111982</v>
      </c>
      <c r="AZ38" s="197">
        <f t="shared" si="11"/>
        <v>28.884499999999999</v>
      </c>
      <c r="BA38" s="199">
        <f t="shared" si="12"/>
        <v>1.2563940843845152</v>
      </c>
      <c r="BB38" s="196">
        <v>1.4999999999999999E-2</v>
      </c>
      <c r="BC38" s="196">
        <v>1.0999999999999999E-2</v>
      </c>
      <c r="BD38" s="196">
        <f t="shared" si="13"/>
        <v>2.8284271247461901E-3</v>
      </c>
      <c r="BE38" s="196">
        <f t="shared" si="14"/>
        <v>2.5999999999999999E-2</v>
      </c>
      <c r="BF38" s="197">
        <v>0</v>
      </c>
      <c r="BG38" s="197">
        <v>0</v>
      </c>
      <c r="BH38" s="197">
        <f t="shared" si="15"/>
        <v>0</v>
      </c>
      <c r="BI38" s="200">
        <f t="shared" si="16"/>
        <v>0</v>
      </c>
      <c r="BJ38" s="199">
        <f t="shared" si="17"/>
        <v>0</v>
      </c>
      <c r="BK38" s="197">
        <v>18</v>
      </c>
      <c r="BL38" s="197">
        <v>0</v>
      </c>
      <c r="BM38" s="197">
        <f t="shared" si="18"/>
        <v>12.727922061357855</v>
      </c>
      <c r="BN38" s="197">
        <f t="shared" si="19"/>
        <v>9</v>
      </c>
      <c r="BO38" s="77">
        <f t="shared" si="20"/>
        <v>0.44912420779480011</v>
      </c>
      <c r="BP38" s="77">
        <f t="shared" si="21"/>
        <v>0.19565190000000002</v>
      </c>
      <c r="BQ38" s="197">
        <v>1</v>
      </c>
      <c r="BR38" s="197">
        <v>0</v>
      </c>
      <c r="BS38" s="197">
        <f t="shared" si="22"/>
        <v>0.70710678118654757</v>
      </c>
      <c r="BT38" s="197">
        <f t="shared" si="23"/>
        <v>0.5</v>
      </c>
      <c r="BU38" s="199">
        <f t="shared" si="24"/>
        <v>4.1135335252982311E-2</v>
      </c>
      <c r="BV38" s="199">
        <f t="shared" si="25"/>
        <v>1.086955E-2</v>
      </c>
      <c r="BW38" s="196">
        <v>201</v>
      </c>
      <c r="BX38" s="196">
        <f t="shared" si="26"/>
        <v>3.2941747190937578</v>
      </c>
      <c r="BY38" s="196">
        <f t="shared" si="0"/>
        <v>4.3695591</v>
      </c>
      <c r="BZ38" s="75">
        <v>0.11</v>
      </c>
      <c r="CA38" s="75">
        <v>0.24</v>
      </c>
      <c r="CB38" s="77">
        <v>0.52900000000000003</v>
      </c>
      <c r="CC38" s="77">
        <v>0.53100000000000003</v>
      </c>
      <c r="CD38" s="77">
        <f t="shared" si="27"/>
        <v>0.53</v>
      </c>
      <c r="CE38" s="77">
        <v>41.305999999999997</v>
      </c>
      <c r="CF38" s="77">
        <v>40.281999999999996</v>
      </c>
      <c r="CG38" s="77">
        <f t="shared" si="28"/>
        <v>40.793999999999997</v>
      </c>
      <c r="CH38" s="75">
        <f t="shared" si="29"/>
        <v>1.1507475317348377</v>
      </c>
      <c r="CI38" s="75">
        <f t="shared" si="30"/>
        <v>0.88682484539999995</v>
      </c>
      <c r="CJ38" s="77">
        <v>8.8999999999999996E-2</v>
      </c>
      <c r="CK38" s="77">
        <v>8.3000000000000004E-2</v>
      </c>
      <c r="CL38" s="77">
        <f t="shared" si="31"/>
        <v>8.5999999999999993E-2</v>
      </c>
      <c r="CM38" s="77">
        <v>0.155</v>
      </c>
      <c r="CN38" s="77">
        <v>0</v>
      </c>
      <c r="CO38" s="77">
        <f t="shared" si="32"/>
        <v>7.7499999999999999E-2</v>
      </c>
      <c r="CP38" s="77">
        <v>0</v>
      </c>
      <c r="CQ38" s="77">
        <v>0</v>
      </c>
      <c r="CR38" s="77">
        <f t="shared" si="33"/>
        <v>0</v>
      </c>
      <c r="CS38" s="77">
        <v>33.872999999999998</v>
      </c>
      <c r="CT38" s="77">
        <v>32.902000000000001</v>
      </c>
      <c r="CU38" s="77">
        <f t="shared" si="34"/>
        <v>33.387500000000003</v>
      </c>
      <c r="CV38" s="201">
        <f t="shared" si="35"/>
        <v>0.69513845513220907</v>
      </c>
      <c r="CW38" s="202">
        <f t="shared" si="36"/>
        <v>0.49025954304778241</v>
      </c>
      <c r="CX38" s="202">
        <f t="shared" si="37"/>
        <v>3.9893131742259671</v>
      </c>
      <c r="CY38" s="202">
        <f t="shared" si="38"/>
        <v>0.14882621137431806</v>
      </c>
      <c r="CZ38" s="202">
        <f t="shared" si="39"/>
        <v>1.2563940843845152</v>
      </c>
      <c r="DA38" s="202">
        <f t="shared" si="40"/>
        <v>1.7055182921793153</v>
      </c>
      <c r="DB38" s="202">
        <f t="shared" si="41"/>
        <v>0.73666409216818884</v>
      </c>
      <c r="DC38" s="203"/>
    </row>
    <row r="39" spans="1:107" ht="18" x14ac:dyDescent="0.3">
      <c r="A39" s="183" t="s">
        <v>559</v>
      </c>
      <c r="B39" s="183">
        <v>26.167712000000002</v>
      </c>
      <c r="C39" s="183">
        <v>91.682601000000005</v>
      </c>
      <c r="D39" s="211" t="s">
        <v>560</v>
      </c>
      <c r="E39" s="183" t="s">
        <v>558</v>
      </c>
      <c r="F39" s="190">
        <v>220</v>
      </c>
      <c r="G39" s="183"/>
      <c r="H39" s="183"/>
      <c r="I39" s="183"/>
      <c r="J39" s="183"/>
      <c r="K39" s="183"/>
      <c r="L39" s="183"/>
      <c r="M39" s="190">
        <v>310</v>
      </c>
      <c r="N39" s="183"/>
      <c r="O39" s="183"/>
      <c r="P39" s="183"/>
      <c r="Q39" s="190">
        <v>100</v>
      </c>
      <c r="R39" s="183"/>
      <c r="S39" s="183"/>
      <c r="T39" s="183"/>
      <c r="U39" s="207">
        <v>110</v>
      </c>
      <c r="V39" s="183"/>
      <c r="W39" s="183"/>
      <c r="X39" s="183"/>
      <c r="Y39" s="183"/>
      <c r="Z39" s="206">
        <v>120</v>
      </c>
      <c r="AA39" s="183">
        <v>9.1999999999999993</v>
      </c>
      <c r="AB39" s="191">
        <v>23.47</v>
      </c>
      <c r="AC39" s="183">
        <v>0.1</v>
      </c>
      <c r="AD39" s="183">
        <v>249</v>
      </c>
      <c r="AE39" s="183">
        <v>-372</v>
      </c>
      <c r="AF39" s="192">
        <f t="shared" si="1"/>
        <v>-167</v>
      </c>
      <c r="AG39" s="193">
        <f t="shared" si="2"/>
        <v>-0.16700000000000001</v>
      </c>
      <c r="AH39" s="183">
        <v>218</v>
      </c>
      <c r="AI39" s="183">
        <v>249</v>
      </c>
      <c r="AJ39" s="195">
        <v>0</v>
      </c>
      <c r="AK39" s="195">
        <v>0</v>
      </c>
      <c r="AL39" s="197">
        <f t="shared" si="3"/>
        <v>0</v>
      </c>
      <c r="AM39" s="197">
        <f t="shared" si="4"/>
        <v>0</v>
      </c>
      <c r="AN39" s="197">
        <v>7.6189999999999998</v>
      </c>
      <c r="AO39" s="197">
        <v>7.5819999999999999</v>
      </c>
      <c r="AP39" s="197">
        <f t="shared" si="5"/>
        <v>2.6162950903902204E-2</v>
      </c>
      <c r="AQ39" s="197">
        <f t="shared" si="6"/>
        <v>15.201000000000001</v>
      </c>
      <c r="AR39" s="77">
        <f t="shared" si="7"/>
        <v>7.6005000000000003</v>
      </c>
      <c r="AS39" s="209">
        <v>1.7000000000000001E-2</v>
      </c>
      <c r="AT39" s="209">
        <v>1.7999999999999999E-2</v>
      </c>
      <c r="AU39" s="198">
        <f t="shared" si="8"/>
        <v>7.0710678118654567E-4</v>
      </c>
      <c r="AV39" s="198">
        <f t="shared" si="9"/>
        <v>1.7500000000000002E-2</v>
      </c>
      <c r="AW39" s="196">
        <v>31.295999999999999</v>
      </c>
      <c r="AX39" s="196">
        <v>29.931000000000001</v>
      </c>
      <c r="AY39" s="196">
        <f t="shared" si="10"/>
        <v>0.96520075631963631</v>
      </c>
      <c r="AZ39" s="197">
        <f t="shared" si="11"/>
        <v>30.613500000000002</v>
      </c>
      <c r="BA39" s="199">
        <f t="shared" si="12"/>
        <v>1.331600695954763</v>
      </c>
      <c r="BB39" s="196">
        <v>1.0999999999999999E-2</v>
      </c>
      <c r="BC39" s="196">
        <v>1.0999999999999999E-2</v>
      </c>
      <c r="BD39" s="196">
        <f t="shared" si="13"/>
        <v>0</v>
      </c>
      <c r="BE39" s="196">
        <f t="shared" si="14"/>
        <v>2.1999999999999999E-2</v>
      </c>
      <c r="BF39" s="197">
        <v>0</v>
      </c>
      <c r="BG39" s="196">
        <v>1.292</v>
      </c>
      <c r="BH39" s="197">
        <f t="shared" si="15"/>
        <v>0.91358196129301938</v>
      </c>
      <c r="BI39" s="200">
        <f t="shared" si="16"/>
        <v>0.64600000000000002</v>
      </c>
      <c r="BJ39" s="199">
        <f t="shared" si="17"/>
        <v>1.6559856447064855E-2</v>
      </c>
      <c r="BK39" s="197">
        <v>14</v>
      </c>
      <c r="BL39" s="197">
        <v>0</v>
      </c>
      <c r="BM39" s="197">
        <f t="shared" si="18"/>
        <v>9.8994949366116654</v>
      </c>
      <c r="BN39" s="197">
        <f t="shared" si="19"/>
        <v>7</v>
      </c>
      <c r="BO39" s="77">
        <f t="shared" si="20"/>
        <v>0.34931882828484451</v>
      </c>
      <c r="BP39" s="77">
        <f t="shared" si="21"/>
        <v>0.1521737</v>
      </c>
      <c r="BQ39" s="197">
        <v>2</v>
      </c>
      <c r="BR39" s="197">
        <v>0</v>
      </c>
      <c r="BS39" s="197">
        <f t="shared" si="22"/>
        <v>1.4142135623730951</v>
      </c>
      <c r="BT39" s="197">
        <f t="shared" si="23"/>
        <v>1</v>
      </c>
      <c r="BU39" s="199">
        <f t="shared" si="24"/>
        <v>8.2270670505964621E-2</v>
      </c>
      <c r="BV39" s="199">
        <f t="shared" si="25"/>
        <v>2.1739100000000001E-2</v>
      </c>
      <c r="BW39" s="196">
        <v>234.00000000000009</v>
      </c>
      <c r="BX39" s="196">
        <f t="shared" si="26"/>
        <v>3.835009374467361</v>
      </c>
      <c r="BY39" s="196">
        <f t="shared" si="0"/>
        <v>5.0869494000000017</v>
      </c>
      <c r="BZ39" s="75">
        <v>0</v>
      </c>
      <c r="CA39" s="75">
        <v>0.16200000000000001</v>
      </c>
      <c r="CB39" s="77">
        <v>0.47299999999999998</v>
      </c>
      <c r="CC39" s="77">
        <v>0.39200000000000002</v>
      </c>
      <c r="CD39" s="77">
        <f t="shared" si="27"/>
        <v>0.4325</v>
      </c>
      <c r="CE39" s="77">
        <v>34.627000000000002</v>
      </c>
      <c r="CF39" s="77">
        <v>33.28</v>
      </c>
      <c r="CG39" s="77">
        <f t="shared" si="28"/>
        <v>33.953500000000005</v>
      </c>
      <c r="CH39" s="75">
        <f t="shared" si="29"/>
        <v>0.95778561354019753</v>
      </c>
      <c r="CI39" s="75">
        <f t="shared" si="30"/>
        <v>0.73811853185000009</v>
      </c>
      <c r="CJ39" s="77">
        <v>7.2999999999999995E-2</v>
      </c>
      <c r="CK39" s="77">
        <v>8.1000000000000003E-2</v>
      </c>
      <c r="CL39" s="77">
        <f t="shared" si="31"/>
        <v>7.6999999999999999E-2</v>
      </c>
      <c r="CM39" s="77">
        <v>0</v>
      </c>
      <c r="CN39" s="77">
        <v>0</v>
      </c>
      <c r="CO39" s="77">
        <f t="shared" si="32"/>
        <v>0</v>
      </c>
      <c r="CP39" s="77">
        <v>7.8680000000000003</v>
      </c>
      <c r="CQ39" s="77">
        <v>8.2309999999999999</v>
      </c>
      <c r="CR39" s="77">
        <f t="shared" si="33"/>
        <v>8.0495000000000001</v>
      </c>
      <c r="CS39" s="77">
        <v>0</v>
      </c>
      <c r="CT39" s="77">
        <v>0</v>
      </c>
      <c r="CU39" s="77">
        <f t="shared" si="34"/>
        <v>0</v>
      </c>
      <c r="CV39" s="201">
        <f t="shared" si="35"/>
        <v>0</v>
      </c>
      <c r="CW39" s="202">
        <f t="shared" si="36"/>
        <v>0.4315894987908091</v>
      </c>
      <c r="CX39" s="202">
        <f t="shared" si="37"/>
        <v>3.835009374467361</v>
      </c>
      <c r="CY39" s="202">
        <f t="shared" si="38"/>
        <v>0.11253935952914117</v>
      </c>
      <c r="CZ39" s="202">
        <f t="shared" si="39"/>
        <v>1.3481605524018279</v>
      </c>
      <c r="DA39" s="202">
        <f t="shared" si="40"/>
        <v>1.6974793806866724</v>
      </c>
      <c r="DB39" s="202">
        <f t="shared" si="41"/>
        <v>0.79421321268507172</v>
      </c>
      <c r="DC39" s="203"/>
    </row>
    <row r="40" spans="1:107" ht="15.6" x14ac:dyDescent="0.3">
      <c r="A40" s="183" t="s">
        <v>561</v>
      </c>
      <c r="B40" s="183">
        <v>26.166129999999999</v>
      </c>
      <c r="C40" s="183">
        <v>91.680419999999998</v>
      </c>
      <c r="D40" s="211" t="s">
        <v>562</v>
      </c>
      <c r="E40" s="183" t="s">
        <v>563</v>
      </c>
      <c r="F40" s="190">
        <v>320</v>
      </c>
      <c r="G40" s="183"/>
      <c r="H40" s="183"/>
      <c r="I40" s="183"/>
      <c r="J40" s="183"/>
      <c r="K40" s="183"/>
      <c r="L40" s="183"/>
      <c r="M40" s="190">
        <v>342</v>
      </c>
      <c r="N40" s="183"/>
      <c r="O40" s="183"/>
      <c r="P40" s="183"/>
      <c r="Q40" s="190">
        <v>90</v>
      </c>
      <c r="R40" s="183"/>
      <c r="S40" s="183"/>
      <c r="T40" s="183"/>
      <c r="U40" s="190">
        <v>80</v>
      </c>
      <c r="V40" s="183"/>
      <c r="W40" s="183"/>
      <c r="X40" s="183"/>
      <c r="Y40" s="183"/>
      <c r="Z40" s="183">
        <v>150</v>
      </c>
      <c r="AA40" s="183">
        <v>8.1</v>
      </c>
      <c r="AB40" s="191">
        <v>22.23</v>
      </c>
      <c r="AC40" s="183">
        <v>0.3</v>
      </c>
      <c r="AD40" s="183">
        <v>391</v>
      </c>
      <c r="AE40" s="183">
        <v>-392</v>
      </c>
      <c r="AF40" s="192">
        <f t="shared" si="1"/>
        <v>-187</v>
      </c>
      <c r="AG40" s="193">
        <f t="shared" si="2"/>
        <v>-0.187</v>
      </c>
      <c r="AH40" s="183">
        <v>137</v>
      </c>
      <c r="AI40" s="183">
        <v>391</v>
      </c>
      <c r="AJ40" s="195">
        <v>0</v>
      </c>
      <c r="AK40" s="195">
        <v>0</v>
      </c>
      <c r="AL40" s="197">
        <f t="shared" si="3"/>
        <v>0</v>
      </c>
      <c r="AM40" s="197">
        <f t="shared" si="4"/>
        <v>0</v>
      </c>
      <c r="AN40" s="197">
        <v>3.9220000000000002</v>
      </c>
      <c r="AO40" s="197">
        <v>3.835</v>
      </c>
      <c r="AP40" s="197">
        <f t="shared" si="5"/>
        <v>6.1518289963229764E-2</v>
      </c>
      <c r="AQ40" s="197">
        <f t="shared" si="6"/>
        <v>7.7569999999999997</v>
      </c>
      <c r="AR40" s="77">
        <f t="shared" si="7"/>
        <v>3.8784999999999998</v>
      </c>
      <c r="AS40" s="209">
        <v>1.4E-2</v>
      </c>
      <c r="AT40" s="209">
        <v>1.2999999999999999E-2</v>
      </c>
      <c r="AU40" s="198">
        <f t="shared" si="8"/>
        <v>7.0710678118654816E-4</v>
      </c>
      <c r="AV40" s="198">
        <f t="shared" si="9"/>
        <v>1.35E-2</v>
      </c>
      <c r="AW40" s="196">
        <v>32.725000000000001</v>
      </c>
      <c r="AX40" s="196">
        <v>34.267000000000003</v>
      </c>
      <c r="AY40" s="196">
        <f t="shared" si="10"/>
        <v>1.0903586565896575</v>
      </c>
      <c r="AZ40" s="197">
        <f t="shared" si="11"/>
        <v>33.496000000000002</v>
      </c>
      <c r="BA40" s="199">
        <f t="shared" si="12"/>
        <v>1.4569812962157462</v>
      </c>
      <c r="BB40" s="196">
        <v>0.505</v>
      </c>
      <c r="BC40" s="196">
        <v>0.51</v>
      </c>
      <c r="BD40" s="196">
        <f t="shared" si="13"/>
        <v>3.5355339059327407E-3</v>
      </c>
      <c r="BE40" s="196">
        <f t="shared" si="14"/>
        <v>1.0150000000000001</v>
      </c>
      <c r="BF40" s="197">
        <v>0</v>
      </c>
      <c r="BG40" s="196">
        <v>0</v>
      </c>
      <c r="BH40" s="197">
        <f t="shared" si="15"/>
        <v>0</v>
      </c>
      <c r="BI40" s="200">
        <f t="shared" si="16"/>
        <v>0</v>
      </c>
      <c r="BJ40" s="199">
        <f t="shared" si="17"/>
        <v>0</v>
      </c>
      <c r="BK40" s="197">
        <v>13</v>
      </c>
      <c r="BL40" s="197">
        <v>0</v>
      </c>
      <c r="BM40" s="197">
        <f t="shared" si="18"/>
        <v>9.1923881554251174</v>
      </c>
      <c r="BN40" s="197">
        <f t="shared" si="19"/>
        <v>6.5</v>
      </c>
      <c r="BO40" s="77">
        <f t="shared" si="20"/>
        <v>0.32436748340735561</v>
      </c>
      <c r="BP40" s="77">
        <f t="shared" si="21"/>
        <v>0.14130415000000002</v>
      </c>
      <c r="BQ40" s="197">
        <v>2.1</v>
      </c>
      <c r="BR40" s="197">
        <v>0</v>
      </c>
      <c r="BS40" s="197">
        <f t="shared" si="22"/>
        <v>1.4849242404917498</v>
      </c>
      <c r="BT40" s="197">
        <f t="shared" si="23"/>
        <v>1.05</v>
      </c>
      <c r="BU40" s="199">
        <f t="shared" si="24"/>
        <v>8.638420403126286E-2</v>
      </c>
      <c r="BV40" s="199">
        <f t="shared" si="25"/>
        <v>2.2826055000000001E-2</v>
      </c>
      <c r="BW40" s="196">
        <v>286</v>
      </c>
      <c r="BX40" s="196">
        <f t="shared" si="26"/>
        <v>4.6872336799045504</v>
      </c>
      <c r="BY40" s="196">
        <f t="shared" si="0"/>
        <v>6.2173826000000005</v>
      </c>
      <c r="BZ40" s="75">
        <v>0.2</v>
      </c>
      <c r="CA40" s="75">
        <v>0.23899999999999999</v>
      </c>
      <c r="CB40" s="77">
        <v>0.58199999999999996</v>
      </c>
      <c r="CC40" s="77">
        <v>0.61299999999999999</v>
      </c>
      <c r="CD40" s="77">
        <f t="shared" si="27"/>
        <v>0.59749999999999992</v>
      </c>
      <c r="CE40" s="77">
        <v>5.1180000000000003</v>
      </c>
      <c r="CF40" s="77">
        <v>5.2240000000000002</v>
      </c>
      <c r="CG40" s="77">
        <f t="shared" si="28"/>
        <v>5.1710000000000003</v>
      </c>
      <c r="CH40" s="75">
        <f t="shared" si="29"/>
        <v>0.14586741889985896</v>
      </c>
      <c r="CI40" s="75">
        <f t="shared" si="30"/>
        <v>0.11241288610000001</v>
      </c>
      <c r="CJ40" s="77">
        <v>0</v>
      </c>
      <c r="CK40" s="77">
        <v>0</v>
      </c>
      <c r="CL40" s="77">
        <f t="shared" si="31"/>
        <v>0</v>
      </c>
      <c r="CM40" s="77">
        <v>1.048</v>
      </c>
      <c r="CN40" s="77">
        <v>1.0229999999999999</v>
      </c>
      <c r="CO40" s="77">
        <f t="shared" si="32"/>
        <v>1.0354999999999999</v>
      </c>
      <c r="CP40" s="77">
        <v>0.82</v>
      </c>
      <c r="CQ40" s="77">
        <v>0.91400000000000003</v>
      </c>
      <c r="CR40" s="77">
        <f t="shared" si="33"/>
        <v>0.86699999999999999</v>
      </c>
      <c r="CS40" s="77">
        <v>0</v>
      </c>
      <c r="CT40" s="77">
        <v>0</v>
      </c>
      <c r="CU40" s="77">
        <f t="shared" si="34"/>
        <v>0</v>
      </c>
      <c r="CV40" s="201">
        <f t="shared" si="35"/>
        <v>0</v>
      </c>
      <c r="CW40" s="202">
        <f t="shared" si="36"/>
        <v>0.41075168743861845</v>
      </c>
      <c r="CX40" s="202">
        <f t="shared" si="37"/>
        <v>4.6872336799045504</v>
      </c>
      <c r="CY40" s="202">
        <f t="shared" si="38"/>
        <v>8.7632005461904527E-2</v>
      </c>
      <c r="CZ40" s="202">
        <f t="shared" si="39"/>
        <v>1.4569812962157462</v>
      </c>
      <c r="DA40" s="202">
        <f t="shared" si="40"/>
        <v>1.7813487796231018</v>
      </c>
      <c r="DB40" s="202">
        <f t="shared" si="41"/>
        <v>0.81790905457830365</v>
      </c>
      <c r="DC40" s="203"/>
    </row>
    <row r="41" spans="1:107" ht="15.6" x14ac:dyDescent="0.3">
      <c r="A41" s="183" t="s">
        <v>564</v>
      </c>
      <c r="B41" s="183">
        <v>26.165790000000001</v>
      </c>
      <c r="C41" s="183">
        <v>91.675319999999999</v>
      </c>
      <c r="D41" s="211" t="s">
        <v>565</v>
      </c>
      <c r="E41" s="183" t="s">
        <v>566</v>
      </c>
      <c r="F41" s="190">
        <v>210</v>
      </c>
      <c r="G41" s="183"/>
      <c r="H41" s="183"/>
      <c r="I41" s="183"/>
      <c r="J41" s="183"/>
      <c r="K41" s="183"/>
      <c r="L41" s="183"/>
      <c r="M41" s="190">
        <v>280</v>
      </c>
      <c r="N41" s="183"/>
      <c r="O41" s="183"/>
      <c r="P41" s="183"/>
      <c r="Q41" s="190">
        <v>70</v>
      </c>
      <c r="R41" s="183"/>
      <c r="S41" s="183"/>
      <c r="T41" s="183"/>
      <c r="U41" s="190">
        <v>80</v>
      </c>
      <c r="V41" s="183"/>
      <c r="W41" s="183"/>
      <c r="X41" s="183"/>
      <c r="Y41" s="183"/>
      <c r="Z41" s="206">
        <v>140</v>
      </c>
      <c r="AA41" s="183">
        <v>8.3000000000000007</v>
      </c>
      <c r="AB41" s="191">
        <v>22.79</v>
      </c>
      <c r="AC41" s="183">
        <v>0.2</v>
      </c>
      <c r="AD41" s="183">
        <v>325</v>
      </c>
      <c r="AE41" s="183">
        <v>-325</v>
      </c>
      <c r="AF41" s="192">
        <f t="shared" si="1"/>
        <v>-120</v>
      </c>
      <c r="AG41" s="193">
        <f t="shared" si="2"/>
        <v>-0.12</v>
      </c>
      <c r="AH41" s="183">
        <v>141</v>
      </c>
      <c r="AI41" s="183">
        <v>325</v>
      </c>
      <c r="AJ41" s="195">
        <v>0</v>
      </c>
      <c r="AK41" s="195">
        <v>0</v>
      </c>
      <c r="AL41" s="197">
        <f t="shared" si="3"/>
        <v>0</v>
      </c>
      <c r="AM41" s="197">
        <f t="shared" si="4"/>
        <v>0</v>
      </c>
      <c r="AN41" s="197">
        <v>2.78</v>
      </c>
      <c r="AO41" s="197">
        <v>2.8239999999999998</v>
      </c>
      <c r="AP41" s="197">
        <f t="shared" si="5"/>
        <v>3.111269837220812E-2</v>
      </c>
      <c r="AQ41" s="197">
        <f t="shared" si="6"/>
        <v>5.6039999999999992</v>
      </c>
      <c r="AR41" s="77">
        <f t="shared" si="7"/>
        <v>2.8019999999999996</v>
      </c>
      <c r="AS41" s="209">
        <v>2.4E-2</v>
      </c>
      <c r="AT41" s="209">
        <v>2.4E-2</v>
      </c>
      <c r="AU41" s="198">
        <f t="shared" si="8"/>
        <v>0</v>
      </c>
      <c r="AV41" s="198">
        <f t="shared" si="9"/>
        <v>2.4E-2</v>
      </c>
      <c r="AW41" s="196">
        <v>26.172999999999998</v>
      </c>
      <c r="AX41" s="196">
        <v>24.922999999999998</v>
      </c>
      <c r="AY41" s="196">
        <f t="shared" si="10"/>
        <v>0.88388347648318444</v>
      </c>
      <c r="AZ41" s="197">
        <f t="shared" si="11"/>
        <v>25.547999999999998</v>
      </c>
      <c r="BA41" s="199">
        <f t="shared" si="12"/>
        <v>1.1112657677250979</v>
      </c>
      <c r="BB41" s="196">
        <v>0.217</v>
      </c>
      <c r="BC41" s="196">
        <v>0.26200000000000001</v>
      </c>
      <c r="BD41" s="196">
        <f t="shared" si="13"/>
        <v>3.1819805153394651E-2</v>
      </c>
      <c r="BE41" s="196">
        <f t="shared" si="14"/>
        <v>0.47899999999999998</v>
      </c>
      <c r="BF41" s="197">
        <v>0</v>
      </c>
      <c r="BG41" s="196">
        <v>0</v>
      </c>
      <c r="BH41" s="197">
        <f t="shared" si="15"/>
        <v>0</v>
      </c>
      <c r="BI41" s="200">
        <f t="shared" si="16"/>
        <v>0</v>
      </c>
      <c r="BJ41" s="199">
        <f t="shared" si="17"/>
        <v>0</v>
      </c>
      <c r="BK41" s="197">
        <v>15</v>
      </c>
      <c r="BL41" s="197">
        <v>0</v>
      </c>
      <c r="BM41" s="197">
        <f t="shared" si="18"/>
        <v>10.606601717798213</v>
      </c>
      <c r="BN41" s="197">
        <f t="shared" si="19"/>
        <v>7.5</v>
      </c>
      <c r="BO41" s="77">
        <f t="shared" si="20"/>
        <v>0.37427017316233341</v>
      </c>
      <c r="BP41" s="77">
        <f t="shared" si="21"/>
        <v>0.16304325</v>
      </c>
      <c r="BQ41" s="197">
        <v>1.3</v>
      </c>
      <c r="BR41" s="197">
        <v>0</v>
      </c>
      <c r="BS41" s="197">
        <f t="shared" si="22"/>
        <v>0.91923881554251186</v>
      </c>
      <c r="BT41" s="197">
        <f t="shared" si="23"/>
        <v>0.65</v>
      </c>
      <c r="BU41" s="199">
        <f t="shared" si="24"/>
        <v>5.3475935828877011E-2</v>
      </c>
      <c r="BV41" s="199">
        <f t="shared" si="25"/>
        <v>1.4130415E-2</v>
      </c>
      <c r="BW41" s="196">
        <v>205.99999999999991</v>
      </c>
      <c r="BX41" s="196">
        <f t="shared" si="26"/>
        <v>3.3761193638473324</v>
      </c>
      <c r="BY41" s="196">
        <f t="shared" si="0"/>
        <v>4.4782545999999979</v>
      </c>
      <c r="BZ41" s="75">
        <v>0.18</v>
      </c>
      <c r="CA41" s="75">
        <v>0.24399999999999999</v>
      </c>
      <c r="CB41" s="77">
        <v>0.56200000000000006</v>
      </c>
      <c r="CC41" s="77">
        <v>0.56599999999999995</v>
      </c>
      <c r="CD41" s="77">
        <f t="shared" si="27"/>
        <v>0.56400000000000006</v>
      </c>
      <c r="CE41" s="77">
        <v>8.1720000000000006</v>
      </c>
      <c r="CF41" s="77">
        <v>8.08</v>
      </c>
      <c r="CG41" s="77">
        <f t="shared" si="28"/>
        <v>8.1260000000000012</v>
      </c>
      <c r="CH41" s="75">
        <f t="shared" si="29"/>
        <v>0.22922425952045136</v>
      </c>
      <c r="CI41" s="75">
        <f t="shared" si="30"/>
        <v>0.17665192660000004</v>
      </c>
      <c r="CJ41" s="77">
        <v>0.151</v>
      </c>
      <c r="CK41" s="77">
        <v>0</v>
      </c>
      <c r="CL41" s="77">
        <f t="shared" si="31"/>
        <v>7.5499999999999998E-2</v>
      </c>
      <c r="CM41" s="77">
        <v>1.21</v>
      </c>
      <c r="CN41" s="77">
        <v>1.321</v>
      </c>
      <c r="CO41" s="77">
        <f t="shared" si="32"/>
        <v>1.2654999999999998</v>
      </c>
      <c r="CP41" s="77">
        <v>0</v>
      </c>
      <c r="CQ41" s="77">
        <v>0</v>
      </c>
      <c r="CR41" s="77">
        <f t="shared" si="33"/>
        <v>0</v>
      </c>
      <c r="CS41" s="77">
        <v>7.1840000000000002</v>
      </c>
      <c r="CT41" s="77">
        <v>6.8520000000000003</v>
      </c>
      <c r="CU41" s="77">
        <f t="shared" si="34"/>
        <v>7.0180000000000007</v>
      </c>
      <c r="CV41" s="201">
        <f t="shared" si="35"/>
        <v>0.14611701020195711</v>
      </c>
      <c r="CW41" s="202">
        <f t="shared" si="36"/>
        <v>0.42774610899121041</v>
      </c>
      <c r="CX41" s="202">
        <f t="shared" si="37"/>
        <v>3.5222363740492897</v>
      </c>
      <c r="CY41" s="202">
        <f t="shared" si="38"/>
        <v>0.12669756690822767</v>
      </c>
      <c r="CZ41" s="202">
        <f t="shared" si="39"/>
        <v>1.1112657677250979</v>
      </c>
      <c r="DA41" s="202">
        <f t="shared" si="40"/>
        <v>1.4855359408874313</v>
      </c>
      <c r="DB41" s="202">
        <f t="shared" si="41"/>
        <v>0.74805714028113557</v>
      </c>
      <c r="DC41" s="203"/>
    </row>
    <row r="42" spans="1:107" ht="18" x14ac:dyDescent="0.3">
      <c r="A42" s="183" t="s">
        <v>567</v>
      </c>
      <c r="B42" s="183">
        <v>26.166979999999999</v>
      </c>
      <c r="C42" s="183">
        <v>91.676469999999995</v>
      </c>
      <c r="D42" s="211" t="s">
        <v>568</v>
      </c>
      <c r="E42" s="183" t="s">
        <v>569</v>
      </c>
      <c r="F42" s="190">
        <v>30</v>
      </c>
      <c r="G42" s="183"/>
      <c r="H42" s="183"/>
      <c r="I42" s="183"/>
      <c r="J42" s="183"/>
      <c r="K42" s="183"/>
      <c r="L42" s="183"/>
      <c r="M42" s="190">
        <v>25</v>
      </c>
      <c r="N42" s="183"/>
      <c r="O42" s="183"/>
      <c r="P42" s="183"/>
      <c r="Q42" s="207">
        <v>12</v>
      </c>
      <c r="R42" s="183"/>
      <c r="S42" s="183"/>
      <c r="T42" s="183"/>
      <c r="U42" s="207">
        <v>11</v>
      </c>
      <c r="V42" s="183"/>
      <c r="W42" s="183"/>
      <c r="X42" s="183"/>
      <c r="Y42" s="183" t="s">
        <v>570</v>
      </c>
      <c r="Z42" s="206">
        <v>120</v>
      </c>
      <c r="AA42" s="183">
        <v>9.1999999999999993</v>
      </c>
      <c r="AB42" s="191">
        <v>22</v>
      </c>
      <c r="AC42" s="183">
        <v>0.3</v>
      </c>
      <c r="AD42" s="183">
        <v>642</v>
      </c>
      <c r="AE42" s="183">
        <v>-420</v>
      </c>
      <c r="AF42" s="192">
        <f t="shared" si="1"/>
        <v>-215</v>
      </c>
      <c r="AG42" s="193">
        <f t="shared" si="2"/>
        <v>-0.215</v>
      </c>
      <c r="AH42" s="183">
        <v>741</v>
      </c>
      <c r="AI42" s="183">
        <v>642</v>
      </c>
      <c r="AJ42" s="195">
        <v>0</v>
      </c>
      <c r="AK42" s="195">
        <v>0</v>
      </c>
      <c r="AL42" s="197">
        <f t="shared" si="3"/>
        <v>0</v>
      </c>
      <c r="AM42" s="197">
        <f t="shared" si="4"/>
        <v>0</v>
      </c>
      <c r="AN42" s="197">
        <v>10.266999999999999</v>
      </c>
      <c r="AO42" s="197">
        <v>8.9149999999999991</v>
      </c>
      <c r="AP42" s="197">
        <f t="shared" si="5"/>
        <v>0.95600836816421253</v>
      </c>
      <c r="AQ42" s="197">
        <f t="shared" si="6"/>
        <v>19.181999999999999</v>
      </c>
      <c r="AR42" s="77">
        <f t="shared" si="7"/>
        <v>9.5909999999999993</v>
      </c>
      <c r="AS42" s="209">
        <v>1.2999999999999999E-2</v>
      </c>
      <c r="AT42" s="209">
        <v>1.7000000000000001E-2</v>
      </c>
      <c r="AU42" s="198">
        <f t="shared" si="8"/>
        <v>2.8284271247461914E-3</v>
      </c>
      <c r="AV42" s="198">
        <f t="shared" si="9"/>
        <v>1.4999999999999999E-2</v>
      </c>
      <c r="AW42" s="196">
        <v>54.085000000000001</v>
      </c>
      <c r="AX42" s="196">
        <v>51.578000000000003</v>
      </c>
      <c r="AY42" s="196">
        <f t="shared" si="10"/>
        <v>1.7727167004346731</v>
      </c>
      <c r="AZ42" s="197">
        <f t="shared" si="11"/>
        <v>52.831500000000005</v>
      </c>
      <c r="BA42" s="199">
        <f t="shared" si="12"/>
        <v>2.2980208786428884</v>
      </c>
      <c r="BB42" s="196">
        <v>12.321</v>
      </c>
      <c r="BC42" s="196">
        <v>12.848000000000001</v>
      </c>
      <c r="BD42" s="196">
        <f t="shared" si="13"/>
        <v>0.37264527368531125</v>
      </c>
      <c r="BE42" s="196">
        <f t="shared" si="14"/>
        <v>25.169</v>
      </c>
      <c r="BF42" s="197">
        <v>0</v>
      </c>
      <c r="BG42" s="196">
        <v>0</v>
      </c>
      <c r="BH42" s="197">
        <f t="shared" si="15"/>
        <v>0</v>
      </c>
      <c r="BI42" s="200">
        <f t="shared" si="16"/>
        <v>0</v>
      </c>
      <c r="BJ42" s="199">
        <f t="shared" si="17"/>
        <v>0</v>
      </c>
      <c r="BK42" s="197">
        <v>22</v>
      </c>
      <c r="BL42" s="197">
        <v>0</v>
      </c>
      <c r="BM42" s="197">
        <f t="shared" si="18"/>
        <v>15.556349186104045</v>
      </c>
      <c r="BN42" s="197">
        <f t="shared" si="19"/>
        <v>11</v>
      </c>
      <c r="BO42" s="77">
        <f t="shared" si="20"/>
        <v>0.54892958730475572</v>
      </c>
      <c r="BP42" s="77">
        <f t="shared" si="21"/>
        <v>0.23913010000000001</v>
      </c>
      <c r="BQ42" s="196">
        <v>4006.933</v>
      </c>
      <c r="BR42" s="196">
        <v>3817.2429999999999</v>
      </c>
      <c r="BS42" s="197">
        <f t="shared" si="22"/>
        <v>134.13108532327624</v>
      </c>
      <c r="BT42" s="197">
        <f t="shared" si="23"/>
        <v>3912.0879999999997</v>
      </c>
      <c r="BU42" s="199">
        <f t="shared" si="24"/>
        <v>321.8501028383381</v>
      </c>
      <c r="BV42" s="199">
        <f t="shared" si="25"/>
        <v>85.045272240800003</v>
      </c>
      <c r="BW42" s="196">
        <v>325.99999999999994</v>
      </c>
      <c r="BX42" s="196">
        <f t="shared" si="26"/>
        <v>5.3427908379331583</v>
      </c>
      <c r="BY42" s="196">
        <f t="shared" si="0"/>
        <v>7.0869465999999992</v>
      </c>
      <c r="BZ42" s="75">
        <v>0.12</v>
      </c>
      <c r="CA42" s="75">
        <v>0.34300000000000003</v>
      </c>
      <c r="CB42" s="77">
        <v>0.62</v>
      </c>
      <c r="CC42" s="77">
        <v>0.58199999999999996</v>
      </c>
      <c r="CD42" s="77">
        <f t="shared" si="27"/>
        <v>0.60099999999999998</v>
      </c>
      <c r="CE42" s="77">
        <v>37.231999999999999</v>
      </c>
      <c r="CF42" s="77">
        <v>35.93</v>
      </c>
      <c r="CG42" s="77">
        <f t="shared" si="28"/>
        <v>36.581000000000003</v>
      </c>
      <c r="CH42" s="75">
        <f t="shared" si="29"/>
        <v>1.031904090267983</v>
      </c>
      <c r="CI42" s="75">
        <f t="shared" si="30"/>
        <v>0.79523801710000008</v>
      </c>
      <c r="CJ42" s="77">
        <v>0.11</v>
      </c>
      <c r="CK42" s="77">
        <v>0.15</v>
      </c>
      <c r="CL42" s="77">
        <f t="shared" si="31"/>
        <v>0.13</v>
      </c>
      <c r="CM42" s="77">
        <v>55.243000000000002</v>
      </c>
      <c r="CN42" s="77">
        <v>56.390999999999998</v>
      </c>
      <c r="CO42" s="77">
        <f t="shared" si="32"/>
        <v>55.817</v>
      </c>
      <c r="CP42" s="77">
        <v>35.139000000000003</v>
      </c>
      <c r="CQ42" s="77">
        <v>34.271000000000001</v>
      </c>
      <c r="CR42" s="77">
        <f t="shared" si="33"/>
        <v>34.704999999999998</v>
      </c>
      <c r="CS42" s="77">
        <v>0</v>
      </c>
      <c r="CT42" s="77">
        <v>0</v>
      </c>
      <c r="CU42" s="77">
        <f t="shared" si="34"/>
        <v>0</v>
      </c>
      <c r="CV42" s="201">
        <f t="shared" si="35"/>
        <v>0</v>
      </c>
      <c r="CW42" s="202">
        <v>0.32</v>
      </c>
      <c r="CX42" s="202">
        <f t="shared" si="37"/>
        <v>5.3427908379331583</v>
      </c>
      <c r="CY42" s="202">
        <f t="shared" si="38"/>
        <v>5.9893791411042958E-2</v>
      </c>
      <c r="CZ42" s="202">
        <f t="shared" si="39"/>
        <v>2.2980208786428884</v>
      </c>
      <c r="DA42" s="202">
        <f t="shared" si="40"/>
        <v>2.8469504659476441</v>
      </c>
      <c r="DB42" s="202">
        <f t="shared" si="41"/>
        <v>0.80718681484960875</v>
      </c>
      <c r="DC42" s="203"/>
    </row>
    <row r="43" spans="1:107" ht="18" x14ac:dyDescent="0.3">
      <c r="A43" s="183" t="s">
        <v>571</v>
      </c>
      <c r="B43" s="183">
        <v>26.16591</v>
      </c>
      <c r="C43" s="183">
        <v>91.677180000000007</v>
      </c>
      <c r="D43" s="211" t="s">
        <v>572</v>
      </c>
      <c r="E43" s="183" t="s">
        <v>573</v>
      </c>
      <c r="F43" s="190">
        <v>200</v>
      </c>
      <c r="G43" s="183"/>
      <c r="H43" s="183"/>
      <c r="I43" s="183"/>
      <c r="J43" s="183"/>
      <c r="K43" s="183"/>
      <c r="L43" s="183"/>
      <c r="M43" s="190">
        <v>210</v>
      </c>
      <c r="N43" s="183"/>
      <c r="O43" s="183"/>
      <c r="P43" s="183"/>
      <c r="Q43" s="190">
        <v>90</v>
      </c>
      <c r="R43" s="183"/>
      <c r="S43" s="183"/>
      <c r="T43" s="183"/>
      <c r="U43" s="207">
        <v>80</v>
      </c>
      <c r="V43" s="183"/>
      <c r="W43" s="183"/>
      <c r="X43" s="183"/>
      <c r="Y43" s="183"/>
      <c r="Z43" s="206">
        <v>80</v>
      </c>
      <c r="AA43" s="183">
        <v>8.4</v>
      </c>
      <c r="AB43" s="191">
        <v>21.6</v>
      </c>
      <c r="AC43" s="183">
        <v>0.1</v>
      </c>
      <c r="AD43" s="183">
        <v>364</v>
      </c>
      <c r="AE43" s="183">
        <v>-351</v>
      </c>
      <c r="AF43" s="192">
        <f t="shared" si="1"/>
        <v>-146</v>
      </c>
      <c r="AG43" s="193">
        <f t="shared" si="2"/>
        <v>-0.14599999999999999</v>
      </c>
      <c r="AH43" s="183">
        <v>139</v>
      </c>
      <c r="AI43" s="183">
        <v>364</v>
      </c>
      <c r="AJ43" s="195">
        <v>0</v>
      </c>
      <c r="AK43" s="195">
        <v>0</v>
      </c>
      <c r="AL43" s="197">
        <f t="shared" si="3"/>
        <v>0</v>
      </c>
      <c r="AM43" s="197">
        <f t="shared" si="4"/>
        <v>0</v>
      </c>
      <c r="AN43" s="197">
        <v>8.1999999999999993</v>
      </c>
      <c r="AO43" s="197">
        <v>8.5370000000000008</v>
      </c>
      <c r="AP43" s="197">
        <f t="shared" si="5"/>
        <v>0.23829498525986759</v>
      </c>
      <c r="AQ43" s="197">
        <f t="shared" si="6"/>
        <v>16.737000000000002</v>
      </c>
      <c r="AR43" s="77">
        <f t="shared" si="7"/>
        <v>8.3685000000000009</v>
      </c>
      <c r="AS43" s="209">
        <v>1.7999999999999999E-2</v>
      </c>
      <c r="AT43" s="209">
        <v>0</v>
      </c>
      <c r="AU43" s="198">
        <f t="shared" si="8"/>
        <v>1.2727922061357855E-2</v>
      </c>
      <c r="AV43" s="198">
        <f t="shared" si="9"/>
        <v>8.9999999999999993E-3</v>
      </c>
      <c r="AW43" s="196">
        <v>39.338000000000001</v>
      </c>
      <c r="AX43" s="197">
        <v>0</v>
      </c>
      <c r="AY43" s="196">
        <f t="shared" si="10"/>
        <v>27.816166558316407</v>
      </c>
      <c r="AZ43" s="197">
        <f t="shared" si="11"/>
        <v>19.669</v>
      </c>
      <c r="BA43" s="199">
        <f t="shared" si="12"/>
        <v>0.85554588951718147</v>
      </c>
      <c r="BB43" s="196">
        <v>0.85699999999999998</v>
      </c>
      <c r="BC43" s="197">
        <v>0</v>
      </c>
      <c r="BD43" s="196">
        <f t="shared" si="13"/>
        <v>0.60599051147687122</v>
      </c>
      <c r="BE43" s="197">
        <f t="shared" si="14"/>
        <v>0.85699999999999998</v>
      </c>
      <c r="BF43" s="197">
        <v>0</v>
      </c>
      <c r="BG43" s="196">
        <v>0</v>
      </c>
      <c r="BH43" s="197">
        <f t="shared" si="15"/>
        <v>0</v>
      </c>
      <c r="BI43" s="200">
        <f t="shared" si="16"/>
        <v>0</v>
      </c>
      <c r="BJ43" s="199">
        <f t="shared" si="17"/>
        <v>0</v>
      </c>
      <c r="BK43" s="197">
        <v>24</v>
      </c>
      <c r="BL43" s="197">
        <v>0</v>
      </c>
      <c r="BM43" s="197">
        <f t="shared" si="18"/>
        <v>16.970562748477139</v>
      </c>
      <c r="BN43" s="197">
        <f t="shared" si="19"/>
        <v>12</v>
      </c>
      <c r="BO43" s="77">
        <f t="shared" si="20"/>
        <v>0.59883227705973352</v>
      </c>
      <c r="BP43" s="77">
        <f t="shared" si="21"/>
        <v>0.26086920000000002</v>
      </c>
      <c r="BQ43" s="197">
        <v>1.4</v>
      </c>
      <c r="BR43" s="197">
        <v>0</v>
      </c>
      <c r="BS43" s="197">
        <f t="shared" si="22"/>
        <v>0.98994949366116647</v>
      </c>
      <c r="BT43" s="197">
        <f t="shared" si="23"/>
        <v>0.7</v>
      </c>
      <c r="BU43" s="199">
        <f t="shared" si="24"/>
        <v>5.7589469354175235E-2</v>
      </c>
      <c r="BV43" s="199">
        <f t="shared" si="25"/>
        <v>1.5217369999999999E-2</v>
      </c>
      <c r="BW43" s="196">
        <v>260</v>
      </c>
      <c r="BX43" s="196">
        <f t="shared" si="26"/>
        <v>4.2611215271859555</v>
      </c>
      <c r="BY43" s="196">
        <f t="shared" si="0"/>
        <v>5.6521660000000002</v>
      </c>
      <c r="BZ43" s="75">
        <v>0.08</v>
      </c>
      <c r="CA43" s="75">
        <v>0.218</v>
      </c>
      <c r="CB43" s="77">
        <v>0.14000000000000001</v>
      </c>
      <c r="CC43" s="77">
        <v>0.13700000000000001</v>
      </c>
      <c r="CD43" s="77">
        <f t="shared" si="27"/>
        <v>0.13850000000000001</v>
      </c>
      <c r="CE43" s="77">
        <v>45.197000000000003</v>
      </c>
      <c r="CF43" s="77">
        <v>44.091999999999999</v>
      </c>
      <c r="CG43" s="77">
        <f t="shared" si="28"/>
        <v>44.644500000000001</v>
      </c>
      <c r="CH43" s="75">
        <f t="shared" si="29"/>
        <v>1.2593653032440055</v>
      </c>
      <c r="CI43" s="75">
        <f t="shared" si="30"/>
        <v>0.97053124995000006</v>
      </c>
      <c r="CJ43" s="77">
        <v>8.5000000000000006E-2</v>
      </c>
      <c r="CK43" s="77">
        <v>7.0999999999999994E-2</v>
      </c>
      <c r="CL43" s="77">
        <f t="shared" si="31"/>
        <v>7.8E-2</v>
      </c>
      <c r="CM43" s="77">
        <v>2.5150000000000001</v>
      </c>
      <c r="CN43" s="77">
        <v>2.1800000000000002</v>
      </c>
      <c r="CO43" s="77">
        <f t="shared" si="32"/>
        <v>2.3475000000000001</v>
      </c>
      <c r="CP43" s="77">
        <v>4.8479999999999999</v>
      </c>
      <c r="CQ43" s="77">
        <v>4.0129999999999999</v>
      </c>
      <c r="CR43" s="77">
        <f t="shared" si="33"/>
        <v>4.4305000000000003</v>
      </c>
      <c r="CS43" s="77">
        <v>0</v>
      </c>
      <c r="CT43" s="77">
        <v>0</v>
      </c>
      <c r="CU43" s="77">
        <f t="shared" si="34"/>
        <v>0</v>
      </c>
      <c r="CV43" s="201">
        <f t="shared" si="35"/>
        <v>0</v>
      </c>
      <c r="CW43" s="202">
        <f t="shared" si="36"/>
        <v>0.65642174641390871</v>
      </c>
      <c r="CX43" s="202">
        <f t="shared" si="37"/>
        <v>4.2611215271859555</v>
      </c>
      <c r="CY43" s="202">
        <f t="shared" si="38"/>
        <v>0.1540490554484161</v>
      </c>
      <c r="CZ43" s="202">
        <f t="shared" si="39"/>
        <v>0.85554588951718147</v>
      </c>
      <c r="DA43" s="202">
        <f t="shared" si="40"/>
        <v>1.4543781665769151</v>
      </c>
      <c r="DB43" s="202">
        <f t="shared" si="41"/>
        <v>0.58825545458429829</v>
      </c>
      <c r="DC43" s="203"/>
    </row>
    <row r="44" spans="1:107" ht="15.6" x14ac:dyDescent="0.3">
      <c r="A44" s="183" t="s">
        <v>574</v>
      </c>
      <c r="B44" s="183">
        <v>26.16544</v>
      </c>
      <c r="C44" s="183">
        <v>91.677629999999994</v>
      </c>
      <c r="D44" s="211" t="s">
        <v>575</v>
      </c>
      <c r="E44" s="183" t="s">
        <v>576</v>
      </c>
      <c r="F44" s="190">
        <v>30</v>
      </c>
      <c r="G44" s="183"/>
      <c r="H44" s="183"/>
      <c r="I44" s="183"/>
      <c r="J44" s="183"/>
      <c r="K44" s="183"/>
      <c r="L44" s="183"/>
      <c r="M44" s="190">
        <v>50</v>
      </c>
      <c r="N44" s="183"/>
      <c r="O44" s="183"/>
      <c r="P44" s="183"/>
      <c r="Q44" s="190">
        <v>11</v>
      </c>
      <c r="R44" s="183"/>
      <c r="S44" s="183"/>
      <c r="T44" s="183"/>
      <c r="U44" s="190">
        <v>14</v>
      </c>
      <c r="V44" s="183"/>
      <c r="W44" s="183"/>
      <c r="X44" s="183"/>
      <c r="Y44" s="183" t="s">
        <v>577</v>
      </c>
      <c r="Z44" s="206">
        <v>120</v>
      </c>
      <c r="AA44" s="183">
        <v>8.6</v>
      </c>
      <c r="AB44" s="191">
        <v>24.35</v>
      </c>
      <c r="AC44" s="183">
        <v>0.1</v>
      </c>
      <c r="AD44" s="183">
        <v>399</v>
      </c>
      <c r="AE44" s="183">
        <v>-273</v>
      </c>
      <c r="AF44" s="192">
        <f t="shared" si="1"/>
        <v>-68</v>
      </c>
      <c r="AG44" s="193">
        <f t="shared" si="2"/>
        <v>-6.8000000000000005E-2</v>
      </c>
      <c r="AH44" s="183">
        <v>127</v>
      </c>
      <c r="AI44" s="183">
        <v>399</v>
      </c>
      <c r="AJ44" s="195">
        <v>0</v>
      </c>
      <c r="AK44" s="195">
        <v>0</v>
      </c>
      <c r="AL44" s="197">
        <f t="shared" si="3"/>
        <v>0</v>
      </c>
      <c r="AM44" s="197">
        <f t="shared" si="4"/>
        <v>0</v>
      </c>
      <c r="AN44" s="197">
        <v>4.7949999999999999</v>
      </c>
      <c r="AO44" s="197">
        <v>4.827</v>
      </c>
      <c r="AP44" s="197">
        <f t="shared" si="5"/>
        <v>2.2627416997969541E-2</v>
      </c>
      <c r="AQ44" s="197">
        <f t="shared" si="6"/>
        <v>9.6219999999999999</v>
      </c>
      <c r="AR44" s="77">
        <f t="shared" si="7"/>
        <v>4.8109999999999999</v>
      </c>
      <c r="AS44" s="209">
        <v>4.4999999999999998E-2</v>
      </c>
      <c r="AT44" s="209">
        <v>3.2000000000000001E-2</v>
      </c>
      <c r="AU44" s="198">
        <f t="shared" si="8"/>
        <v>9.1923881554250905E-3</v>
      </c>
      <c r="AV44" s="198">
        <f t="shared" si="9"/>
        <v>3.85E-2</v>
      </c>
      <c r="AW44" s="196">
        <v>20.721</v>
      </c>
      <c r="AX44" s="196">
        <v>21.484000000000002</v>
      </c>
      <c r="AY44" s="196">
        <f t="shared" si="10"/>
        <v>0.53952247404533693</v>
      </c>
      <c r="AZ44" s="197">
        <f t="shared" si="11"/>
        <v>21.102499999999999</v>
      </c>
      <c r="BA44" s="199">
        <f t="shared" si="12"/>
        <v>0.91789908655937369</v>
      </c>
      <c r="BB44" s="196">
        <v>1.0999999999999999E-2</v>
      </c>
      <c r="BC44" s="196">
        <v>8.9999999999999993E-3</v>
      </c>
      <c r="BD44" s="196">
        <f t="shared" si="13"/>
        <v>1.4142135623730952E-3</v>
      </c>
      <c r="BE44" s="196">
        <f t="shared" si="14"/>
        <v>1.9999999999999997E-2</v>
      </c>
      <c r="BF44" s="196">
        <v>0.91600000000000004</v>
      </c>
      <c r="BG44" s="196">
        <v>0.98099999999999998</v>
      </c>
      <c r="BH44" s="196">
        <f t="shared" si="15"/>
        <v>4.5961940777125551E-2</v>
      </c>
      <c r="BI44" s="200">
        <f t="shared" si="16"/>
        <v>0.94850000000000001</v>
      </c>
      <c r="BJ44" s="199">
        <f t="shared" si="17"/>
        <v>2.4314278390156371E-2</v>
      </c>
      <c r="BK44" s="197">
        <v>26</v>
      </c>
      <c r="BL44" s="197">
        <v>0</v>
      </c>
      <c r="BM44" s="197">
        <f t="shared" si="18"/>
        <v>18.384776310850235</v>
      </c>
      <c r="BN44" s="197">
        <f t="shared" si="19"/>
        <v>13</v>
      </c>
      <c r="BO44" s="77">
        <f t="shared" si="20"/>
        <v>0.64873496681471121</v>
      </c>
      <c r="BP44" s="77">
        <f t="shared" si="21"/>
        <v>0.28260830000000003</v>
      </c>
      <c r="BQ44" s="196">
        <v>3.96</v>
      </c>
      <c r="BR44" s="197">
        <v>0</v>
      </c>
      <c r="BS44" s="197">
        <f t="shared" si="22"/>
        <v>2.8001428534987283</v>
      </c>
      <c r="BT44" s="197">
        <f t="shared" si="23"/>
        <v>1.98</v>
      </c>
      <c r="BU44" s="199">
        <f t="shared" si="24"/>
        <v>0.16289592760180996</v>
      </c>
      <c r="BV44" s="199">
        <f t="shared" si="25"/>
        <v>4.3043418E-2</v>
      </c>
      <c r="BW44" s="196">
        <v>177.99999999999997</v>
      </c>
      <c r="BX44" s="196">
        <f t="shared" si="26"/>
        <v>2.9172293532273073</v>
      </c>
      <c r="BY44" s="196">
        <f t="shared" si="0"/>
        <v>3.8695597999999993</v>
      </c>
      <c r="BZ44" s="75">
        <v>0.09</v>
      </c>
      <c r="CA44" s="75">
        <v>0.26200000000000001</v>
      </c>
      <c r="CB44" s="77">
        <v>0.70099999999999996</v>
      </c>
      <c r="CC44" s="77">
        <v>0.38100000000000001</v>
      </c>
      <c r="CD44" s="77">
        <f t="shared" si="27"/>
        <v>0.54099999999999993</v>
      </c>
      <c r="CE44" s="77">
        <v>8.2230000000000008</v>
      </c>
      <c r="CF44" s="77">
        <v>16.402000000000001</v>
      </c>
      <c r="CG44" s="77">
        <f t="shared" si="28"/>
        <v>12.3125</v>
      </c>
      <c r="CH44" s="75">
        <f t="shared" si="29"/>
        <v>0.34732016925246822</v>
      </c>
      <c r="CI44" s="75">
        <f t="shared" si="30"/>
        <v>0.26766266875</v>
      </c>
      <c r="CJ44" s="77">
        <v>6.8000000000000005E-2</v>
      </c>
      <c r="CK44" s="77">
        <v>0</v>
      </c>
      <c r="CL44" s="77">
        <f t="shared" si="31"/>
        <v>3.4000000000000002E-2</v>
      </c>
      <c r="CM44" s="77">
        <v>4.0540000000000003</v>
      </c>
      <c r="CN44" s="77">
        <v>0</v>
      </c>
      <c r="CO44" s="77">
        <f t="shared" si="32"/>
        <v>2.0270000000000001</v>
      </c>
      <c r="CP44" s="77">
        <v>1.849</v>
      </c>
      <c r="CQ44" s="77">
        <v>4.8860000000000001</v>
      </c>
      <c r="CR44" s="77">
        <f t="shared" si="33"/>
        <v>3.3675000000000002</v>
      </c>
      <c r="CS44" s="77">
        <v>0</v>
      </c>
      <c r="CT44" s="77">
        <v>0</v>
      </c>
      <c r="CU44" s="77">
        <f t="shared" si="34"/>
        <v>0</v>
      </c>
      <c r="CV44" s="201">
        <f t="shared" si="35"/>
        <v>0</v>
      </c>
      <c r="CW44" s="202">
        <f t="shared" si="36"/>
        <v>0.81163089441652114</v>
      </c>
      <c r="CX44" s="202">
        <f t="shared" si="37"/>
        <v>2.9172293532273073</v>
      </c>
      <c r="CY44" s="202">
        <f t="shared" si="38"/>
        <v>0.27821977504738199</v>
      </c>
      <c r="CZ44" s="202">
        <f t="shared" si="39"/>
        <v>0.94221336494953001</v>
      </c>
      <c r="DA44" s="202">
        <f t="shared" si="40"/>
        <v>1.5909483317642412</v>
      </c>
      <c r="DB44" s="202">
        <f t="shared" si="41"/>
        <v>0.59223379297597101</v>
      </c>
      <c r="DC44" s="203"/>
    </row>
    <row r="45" spans="1:107" ht="15.6" x14ac:dyDescent="0.3">
      <c r="A45" s="183" t="s">
        <v>578</v>
      </c>
      <c r="B45" s="183">
        <v>26.16319</v>
      </c>
      <c r="C45" s="183">
        <v>91.683199999999999</v>
      </c>
      <c r="D45" s="211" t="s">
        <v>579</v>
      </c>
      <c r="E45" s="183" t="s">
        <v>563</v>
      </c>
      <c r="F45" s="190">
        <v>50</v>
      </c>
      <c r="G45" s="183"/>
      <c r="H45" s="183"/>
      <c r="I45" s="183"/>
      <c r="J45" s="183"/>
      <c r="K45" s="183"/>
      <c r="L45" s="183"/>
      <c r="M45" s="190">
        <v>80</v>
      </c>
      <c r="N45" s="183"/>
      <c r="O45" s="183"/>
      <c r="P45" s="183"/>
      <c r="Q45" s="190">
        <v>18</v>
      </c>
      <c r="R45" s="183"/>
      <c r="S45" s="183"/>
      <c r="T45" s="183"/>
      <c r="U45" s="190">
        <v>19</v>
      </c>
      <c r="V45" s="183"/>
      <c r="W45" s="183"/>
      <c r="X45" s="183"/>
      <c r="Y45" s="183" t="s">
        <v>580</v>
      </c>
      <c r="Z45" s="206">
        <v>100</v>
      </c>
      <c r="AA45" s="183">
        <v>7.8</v>
      </c>
      <c r="AB45" s="191">
        <v>22.1</v>
      </c>
      <c r="AC45" s="183">
        <v>0.1</v>
      </c>
      <c r="AD45" s="183">
        <v>278</v>
      </c>
      <c r="AE45" s="183">
        <v>-264</v>
      </c>
      <c r="AF45" s="192">
        <f t="shared" si="1"/>
        <v>-59</v>
      </c>
      <c r="AG45" s="193">
        <f t="shared" si="2"/>
        <v>-5.8999999999999997E-2</v>
      </c>
      <c r="AH45" s="183">
        <v>103</v>
      </c>
      <c r="AI45" s="183">
        <v>278</v>
      </c>
      <c r="AJ45" s="197">
        <v>2.67</v>
      </c>
      <c r="AK45" s="197">
        <v>2.734</v>
      </c>
      <c r="AL45" s="197">
        <f t="shared" si="3"/>
        <v>4.5254833995939082E-2</v>
      </c>
      <c r="AM45" s="197">
        <f t="shared" si="4"/>
        <v>2.702</v>
      </c>
      <c r="AN45" s="197">
        <v>2.762</v>
      </c>
      <c r="AO45" s="197">
        <v>2.855</v>
      </c>
      <c r="AP45" s="197">
        <f t="shared" si="5"/>
        <v>6.5760930650348895E-2</v>
      </c>
      <c r="AQ45" s="197">
        <f t="shared" si="6"/>
        <v>5.617</v>
      </c>
      <c r="AR45" s="77">
        <f t="shared" si="7"/>
        <v>4.1594999999999995</v>
      </c>
      <c r="AS45" s="209">
        <v>8.0000000000000002E-3</v>
      </c>
      <c r="AT45" s="209">
        <v>1.2E-2</v>
      </c>
      <c r="AU45" s="198">
        <f t="shared" si="8"/>
        <v>2.8284271247461901E-3</v>
      </c>
      <c r="AV45" s="198">
        <f t="shared" si="9"/>
        <v>0.01</v>
      </c>
      <c r="AW45" s="196">
        <v>28.484000000000002</v>
      </c>
      <c r="AX45" s="196">
        <v>30.256</v>
      </c>
      <c r="AY45" s="196">
        <f t="shared" si="10"/>
        <v>1.2529932162625612</v>
      </c>
      <c r="AZ45" s="197">
        <f t="shared" si="11"/>
        <v>29.37</v>
      </c>
      <c r="BA45" s="199">
        <f t="shared" si="12"/>
        <v>1.2775119617224882</v>
      </c>
      <c r="BB45" s="196">
        <v>0.443</v>
      </c>
      <c r="BC45" s="196">
        <v>0.371</v>
      </c>
      <c r="BD45" s="196">
        <f t="shared" si="13"/>
        <v>5.0911688245431429E-2</v>
      </c>
      <c r="BE45" s="196">
        <f t="shared" si="14"/>
        <v>0.81400000000000006</v>
      </c>
      <c r="BF45" s="196">
        <v>1.1839999999999999</v>
      </c>
      <c r="BG45" s="196">
        <v>1.2709999999999999</v>
      </c>
      <c r="BH45" s="196">
        <f t="shared" si="15"/>
        <v>6.1518289963229611E-2</v>
      </c>
      <c r="BI45" s="200">
        <f t="shared" si="16"/>
        <v>1.2275</v>
      </c>
      <c r="BJ45" s="199">
        <f t="shared" si="17"/>
        <v>3.1466290694693672E-2</v>
      </c>
      <c r="BK45" s="197">
        <v>21</v>
      </c>
      <c r="BL45" s="197">
        <v>0</v>
      </c>
      <c r="BM45" s="197">
        <f t="shared" si="18"/>
        <v>14.849242404917497</v>
      </c>
      <c r="BN45" s="197">
        <f t="shared" si="19"/>
        <v>10.5</v>
      </c>
      <c r="BO45" s="77">
        <f t="shared" si="20"/>
        <v>0.52397824242726676</v>
      </c>
      <c r="BP45" s="77">
        <f t="shared" si="21"/>
        <v>0.22826055000000001</v>
      </c>
      <c r="BQ45" s="197">
        <v>1.3</v>
      </c>
      <c r="BR45" s="197">
        <v>0</v>
      </c>
      <c r="BS45" s="197">
        <f t="shared" si="22"/>
        <v>0.91923881554251186</v>
      </c>
      <c r="BT45" s="197">
        <f t="shared" si="23"/>
        <v>0.65</v>
      </c>
      <c r="BU45" s="199">
        <f t="shared" si="24"/>
        <v>5.3475935828877011E-2</v>
      </c>
      <c r="BV45" s="199">
        <f t="shared" si="25"/>
        <v>1.4130415E-2</v>
      </c>
      <c r="BW45" s="196">
        <v>247.99999999999997</v>
      </c>
      <c r="BX45" s="196">
        <f t="shared" si="26"/>
        <v>4.0644543797773718</v>
      </c>
      <c r="BY45" s="196">
        <f t="shared" si="0"/>
        <v>5.3912967999999992</v>
      </c>
      <c r="BZ45" s="75">
        <v>0.08</v>
      </c>
      <c r="CA45" s="75">
        <v>0.24199999999999999</v>
      </c>
      <c r="CB45" s="77">
        <v>0.91300000000000003</v>
      </c>
      <c r="CC45" s="77">
        <v>0.78100000000000003</v>
      </c>
      <c r="CD45" s="77">
        <f t="shared" si="27"/>
        <v>0.84699999999999998</v>
      </c>
      <c r="CE45" s="77">
        <v>28.17</v>
      </c>
      <c r="CF45" s="77">
        <v>27.018999999999998</v>
      </c>
      <c r="CG45" s="77">
        <f t="shared" si="28"/>
        <v>27.5945</v>
      </c>
      <c r="CH45" s="75">
        <f t="shared" si="29"/>
        <v>0.77840620592383636</v>
      </c>
      <c r="CI45" s="75">
        <f t="shared" si="30"/>
        <v>0.59987959494999998</v>
      </c>
      <c r="CJ45" s="77">
        <v>1.2E-2</v>
      </c>
      <c r="CK45" s="77">
        <v>1.9E-2</v>
      </c>
      <c r="CL45" s="77">
        <f t="shared" si="31"/>
        <v>1.55E-2</v>
      </c>
      <c r="CM45" s="77">
        <v>10.069000000000001</v>
      </c>
      <c r="CN45" s="77">
        <v>9.2279999999999998</v>
      </c>
      <c r="CO45" s="77">
        <f t="shared" si="32"/>
        <v>9.6485000000000003</v>
      </c>
      <c r="CP45" s="77">
        <v>1.2999999999999999E-2</v>
      </c>
      <c r="CQ45" s="77">
        <v>0.01</v>
      </c>
      <c r="CR45" s="77">
        <f t="shared" si="33"/>
        <v>1.15E-2</v>
      </c>
      <c r="CS45" s="77">
        <v>5.9039999999999999</v>
      </c>
      <c r="CT45" s="77">
        <v>6.0229999999999997</v>
      </c>
      <c r="CU45" s="77">
        <f t="shared" si="34"/>
        <v>5.9634999999999998</v>
      </c>
      <c r="CV45" s="201">
        <f t="shared" si="35"/>
        <v>0.12416198209452425</v>
      </c>
      <c r="CW45" s="202">
        <f t="shared" si="36"/>
        <v>0.57745417825614376</v>
      </c>
      <c r="CX45" s="202">
        <f t="shared" si="37"/>
        <v>4.1886163618718957</v>
      </c>
      <c r="CY45" s="202">
        <f t="shared" si="38"/>
        <v>0.14207421816056243</v>
      </c>
      <c r="CZ45" s="202">
        <f t="shared" si="39"/>
        <v>1.3089782524171818</v>
      </c>
      <c r="DA45" s="202">
        <f t="shared" si="40"/>
        <v>1.8329564948444486</v>
      </c>
      <c r="DB45" s="202">
        <f t="shared" si="41"/>
        <v>0.71413492687848357</v>
      </c>
      <c r="DC45" s="203"/>
    </row>
    <row r="46" spans="1:107" ht="115.2" x14ac:dyDescent="0.3">
      <c r="A46" s="183" t="s">
        <v>581</v>
      </c>
      <c r="B46" s="183">
        <v>26.165569999999999</v>
      </c>
      <c r="C46" s="183">
        <v>91.683199999999999</v>
      </c>
      <c r="D46" s="215" t="s">
        <v>582</v>
      </c>
      <c r="E46" s="183" t="s">
        <v>583</v>
      </c>
      <c r="F46" s="190">
        <v>300</v>
      </c>
      <c r="G46" s="183"/>
      <c r="H46" s="183"/>
      <c r="I46" s="183"/>
      <c r="J46" s="183"/>
      <c r="K46" s="183"/>
      <c r="L46" s="183"/>
      <c r="M46" s="190">
        <v>280</v>
      </c>
      <c r="N46" s="183"/>
      <c r="O46" s="183"/>
      <c r="P46" s="183"/>
      <c r="Q46" s="207">
        <v>20</v>
      </c>
      <c r="R46" s="183"/>
      <c r="S46" s="183"/>
      <c r="T46" s="183"/>
      <c r="U46" s="207">
        <v>15</v>
      </c>
      <c r="V46" s="183"/>
      <c r="W46" s="183"/>
      <c r="X46" s="183"/>
      <c r="Y46" s="183" t="s">
        <v>584</v>
      </c>
      <c r="Z46" s="206">
        <v>60</v>
      </c>
      <c r="AA46" s="183">
        <v>8.4</v>
      </c>
      <c r="AB46" s="191">
        <v>22.5</v>
      </c>
      <c r="AC46" s="183">
        <v>0.2</v>
      </c>
      <c r="AD46" s="183">
        <v>381</v>
      </c>
      <c r="AE46" s="183">
        <v>-293</v>
      </c>
      <c r="AF46" s="192">
        <f t="shared" si="1"/>
        <v>-88</v>
      </c>
      <c r="AG46" s="193">
        <f t="shared" si="2"/>
        <v>-8.7999999999999995E-2</v>
      </c>
      <c r="AH46" s="183">
        <v>147</v>
      </c>
      <c r="AI46" s="183">
        <v>381</v>
      </c>
      <c r="AJ46" s="197">
        <v>6.2009999999999996</v>
      </c>
      <c r="AK46" s="197">
        <v>6.2009999999999996</v>
      </c>
      <c r="AL46" s="197">
        <f t="shared" si="3"/>
        <v>0</v>
      </c>
      <c r="AM46" s="197">
        <f t="shared" si="4"/>
        <v>6.2009999999999996</v>
      </c>
      <c r="AN46" s="197">
        <v>6.4649999999999999</v>
      </c>
      <c r="AO46" s="197">
        <v>6.298</v>
      </c>
      <c r="AP46" s="197">
        <f t="shared" si="5"/>
        <v>0.11808683245815331</v>
      </c>
      <c r="AQ46" s="197">
        <f t="shared" si="6"/>
        <v>12.763</v>
      </c>
      <c r="AR46" s="77">
        <f t="shared" si="7"/>
        <v>9.4819999999999993</v>
      </c>
      <c r="AS46" s="209">
        <v>1.2999999999999999E-2</v>
      </c>
      <c r="AT46" s="209">
        <v>1.2E-2</v>
      </c>
      <c r="AU46" s="198">
        <f t="shared" si="8"/>
        <v>7.0710678118654697E-4</v>
      </c>
      <c r="AV46" s="198">
        <f t="shared" si="9"/>
        <v>1.2500000000000001E-2</v>
      </c>
      <c r="AW46" s="196">
        <v>28.805</v>
      </c>
      <c r="AX46" s="196">
        <v>29.905000000000001</v>
      </c>
      <c r="AY46" s="196">
        <f t="shared" si="10"/>
        <v>0.7778174593052033</v>
      </c>
      <c r="AZ46" s="197">
        <f t="shared" si="11"/>
        <v>29.355</v>
      </c>
      <c r="BA46" s="199">
        <f t="shared" si="12"/>
        <v>1.2768595041322315</v>
      </c>
      <c r="BB46" s="196">
        <v>0.01</v>
      </c>
      <c r="BC46" s="196">
        <v>0.02</v>
      </c>
      <c r="BD46" s="196">
        <f t="shared" si="13"/>
        <v>7.0710678118654771E-3</v>
      </c>
      <c r="BE46" s="196">
        <f t="shared" si="14"/>
        <v>0.03</v>
      </c>
      <c r="BF46" s="196">
        <v>1.333</v>
      </c>
      <c r="BG46" s="196">
        <v>1.3720000000000001</v>
      </c>
      <c r="BH46" s="196">
        <f t="shared" si="15"/>
        <v>2.7577164466275457E-2</v>
      </c>
      <c r="BI46" s="200">
        <f t="shared" si="16"/>
        <v>1.3525</v>
      </c>
      <c r="BJ46" s="199">
        <f t="shared" si="17"/>
        <v>3.4670597282748017E-2</v>
      </c>
      <c r="BK46" s="197">
        <v>12</v>
      </c>
      <c r="BL46" s="197">
        <v>0</v>
      </c>
      <c r="BM46" s="197">
        <f t="shared" si="18"/>
        <v>8.4852813742385695</v>
      </c>
      <c r="BN46" s="197">
        <f t="shared" si="19"/>
        <v>6</v>
      </c>
      <c r="BO46" s="77">
        <f t="shared" si="20"/>
        <v>0.29941613852986676</v>
      </c>
      <c r="BP46" s="77">
        <f t="shared" si="21"/>
        <v>0.13043460000000001</v>
      </c>
      <c r="BQ46" s="197">
        <v>1.1000000000000001</v>
      </c>
      <c r="BR46" s="197">
        <v>0</v>
      </c>
      <c r="BS46" s="197">
        <f t="shared" si="22"/>
        <v>0.7778174593052023</v>
      </c>
      <c r="BT46" s="197">
        <f t="shared" si="23"/>
        <v>0.55000000000000004</v>
      </c>
      <c r="BU46" s="199">
        <f t="shared" si="24"/>
        <v>4.5248868778280549E-2</v>
      </c>
      <c r="BV46" s="199">
        <f t="shared" si="25"/>
        <v>1.1956505000000001E-2</v>
      </c>
      <c r="BW46" s="196">
        <v>212.00000000000003</v>
      </c>
      <c r="BX46" s="196">
        <f t="shared" si="26"/>
        <v>3.4744529375516255</v>
      </c>
      <c r="BY46" s="196">
        <f t="shared" si="0"/>
        <v>4.6086892000000006</v>
      </c>
      <c r="BZ46" s="75">
        <v>0.12</v>
      </c>
      <c r="CA46" s="75">
        <v>0.28699999999999998</v>
      </c>
      <c r="CB46" s="77">
        <v>0.56499999999999995</v>
      </c>
      <c r="CC46" s="77">
        <v>0.81200000000000006</v>
      </c>
      <c r="CD46" s="77">
        <f t="shared" si="27"/>
        <v>0.6885</v>
      </c>
      <c r="CE46" s="77">
        <v>17.626000000000001</v>
      </c>
      <c r="CF46" s="77">
        <v>20.14</v>
      </c>
      <c r="CG46" s="77">
        <f t="shared" si="28"/>
        <v>18.883000000000003</v>
      </c>
      <c r="CH46" s="75">
        <f t="shared" si="29"/>
        <v>0.53266572637517628</v>
      </c>
      <c r="CI46" s="75">
        <f t="shared" si="30"/>
        <v>0.41049942530000005</v>
      </c>
      <c r="CJ46" s="77">
        <v>6.2E-2</v>
      </c>
      <c r="CK46" s="77">
        <v>3.4200000000000001E-2</v>
      </c>
      <c r="CL46" s="77">
        <f t="shared" si="31"/>
        <v>4.8100000000000004E-2</v>
      </c>
      <c r="CM46" s="77">
        <v>0</v>
      </c>
      <c r="CN46" s="77">
        <v>0</v>
      </c>
      <c r="CO46" s="77">
        <f t="shared" si="32"/>
        <v>0</v>
      </c>
      <c r="CP46" s="77">
        <v>6.9009999999999998</v>
      </c>
      <c r="CQ46" s="77">
        <v>6.7320000000000002</v>
      </c>
      <c r="CR46" s="77">
        <f t="shared" si="33"/>
        <v>6.8164999999999996</v>
      </c>
      <c r="CS46" s="77">
        <v>0</v>
      </c>
      <c r="CT46" s="77">
        <v>0</v>
      </c>
      <c r="CU46" s="77">
        <f t="shared" si="34"/>
        <v>0</v>
      </c>
      <c r="CV46" s="201">
        <f t="shared" si="35"/>
        <v>0</v>
      </c>
      <c r="CW46" s="202">
        <f t="shared" si="36"/>
        <v>0.34466500730814731</v>
      </c>
      <c r="CX46" s="202">
        <f t="shared" si="37"/>
        <v>3.4744529375516255</v>
      </c>
      <c r="CY46" s="202">
        <f t="shared" si="38"/>
        <v>9.919979159396114E-2</v>
      </c>
      <c r="CZ46" s="202">
        <f t="shared" si="39"/>
        <v>1.3115301014149794</v>
      </c>
      <c r="DA46" s="202">
        <f t="shared" si="40"/>
        <v>1.6109462399448462</v>
      </c>
      <c r="DB46" s="202">
        <f t="shared" si="41"/>
        <v>0.8141364800974874</v>
      </c>
      <c r="DC46" s="203"/>
    </row>
    <row r="47" spans="1:107" ht="115.2" x14ac:dyDescent="0.3">
      <c r="A47" s="183" t="s">
        <v>585</v>
      </c>
      <c r="B47" s="183">
        <v>26.165569999999999</v>
      </c>
      <c r="C47" s="183">
        <v>91.683199999999999</v>
      </c>
      <c r="D47" s="215" t="s">
        <v>582</v>
      </c>
      <c r="E47" s="183" t="s">
        <v>563</v>
      </c>
      <c r="F47" s="190">
        <v>300</v>
      </c>
      <c r="G47" s="183"/>
      <c r="H47" s="183"/>
      <c r="I47" s="183"/>
      <c r="J47" s="183"/>
      <c r="K47" s="183"/>
      <c r="L47" s="183"/>
      <c r="M47" s="190">
        <v>280</v>
      </c>
      <c r="N47" s="183"/>
      <c r="O47" s="183"/>
      <c r="P47" s="183"/>
      <c r="Q47" s="207">
        <v>20</v>
      </c>
      <c r="R47" s="183"/>
      <c r="S47" s="183"/>
      <c r="T47" s="183"/>
      <c r="U47" s="207">
        <v>15</v>
      </c>
      <c r="V47" s="183"/>
      <c r="W47" s="183"/>
      <c r="X47" s="183"/>
      <c r="Y47" s="183"/>
      <c r="Z47" s="206">
        <v>80</v>
      </c>
      <c r="AA47" s="183">
        <v>8.6</v>
      </c>
      <c r="AB47" s="191">
        <v>21.8</v>
      </c>
      <c r="AC47" s="183">
        <v>0.2</v>
      </c>
      <c r="AD47" s="183">
        <v>309</v>
      </c>
      <c r="AE47" s="183">
        <v>-234</v>
      </c>
      <c r="AF47" s="192">
        <f t="shared" si="1"/>
        <v>-29</v>
      </c>
      <c r="AG47" s="193">
        <f t="shared" si="2"/>
        <v>-2.9000000000000001E-2</v>
      </c>
      <c r="AH47" s="183">
        <v>119</v>
      </c>
      <c r="AI47" s="183">
        <v>309</v>
      </c>
      <c r="AJ47" s="197">
        <v>6.391</v>
      </c>
      <c r="AK47" s="197">
        <v>6.3460000000000001</v>
      </c>
      <c r="AL47" s="197">
        <f t="shared" si="3"/>
        <v>3.1819805153394588E-2</v>
      </c>
      <c r="AM47" s="197">
        <f t="shared" si="4"/>
        <v>6.3685</v>
      </c>
      <c r="AN47" s="197">
        <v>6.4109999999999996</v>
      </c>
      <c r="AO47" s="197">
        <v>6.5170000000000003</v>
      </c>
      <c r="AP47" s="197">
        <f t="shared" si="5"/>
        <v>7.4953318805774577E-2</v>
      </c>
      <c r="AQ47" s="197">
        <f t="shared" si="6"/>
        <v>12.928000000000001</v>
      </c>
      <c r="AR47" s="77">
        <f t="shared" si="7"/>
        <v>9.6482500000000009</v>
      </c>
      <c r="AS47" s="209">
        <v>7.0000000000000001E-3</v>
      </c>
      <c r="AT47" s="209">
        <v>5.0000000000000001E-3</v>
      </c>
      <c r="AU47" s="198">
        <f t="shared" si="8"/>
        <v>1.414213562373095E-3</v>
      </c>
      <c r="AV47" s="198">
        <f t="shared" si="9"/>
        <v>6.0000000000000001E-3</v>
      </c>
      <c r="AW47" s="196">
        <v>36.811</v>
      </c>
      <c r="AX47" s="196">
        <v>33.398000000000003</v>
      </c>
      <c r="AY47" s="196">
        <f t="shared" si="10"/>
        <v>2.4133554441896843</v>
      </c>
      <c r="AZ47" s="197">
        <f t="shared" si="11"/>
        <v>35.104500000000002</v>
      </c>
      <c r="BA47" s="199">
        <f t="shared" si="12"/>
        <v>1.5269464984775991</v>
      </c>
      <c r="BB47" s="196">
        <v>3.9289999999999998</v>
      </c>
      <c r="BC47" s="196">
        <v>3.8079999999999998</v>
      </c>
      <c r="BD47" s="196">
        <f t="shared" si="13"/>
        <v>8.5559920523572253E-2</v>
      </c>
      <c r="BE47" s="196">
        <f t="shared" si="14"/>
        <v>7.7370000000000001</v>
      </c>
      <c r="BF47" s="196">
        <v>2.996</v>
      </c>
      <c r="BG47" s="196">
        <v>2.7570000000000001</v>
      </c>
      <c r="BH47" s="196">
        <f t="shared" si="15"/>
        <v>0.16899852070358479</v>
      </c>
      <c r="BI47" s="200">
        <f t="shared" si="16"/>
        <v>2.8765000000000001</v>
      </c>
      <c r="BJ47" s="199">
        <f t="shared" si="17"/>
        <v>7.3737503204306595E-2</v>
      </c>
      <c r="BK47" s="197">
        <v>6</v>
      </c>
      <c r="BL47" s="197">
        <v>0</v>
      </c>
      <c r="BM47" s="197">
        <f t="shared" si="18"/>
        <v>4.2426406871192848</v>
      </c>
      <c r="BN47" s="197">
        <f t="shared" si="19"/>
        <v>3</v>
      </c>
      <c r="BO47" s="77">
        <f t="shared" si="20"/>
        <v>0.14970806926493338</v>
      </c>
      <c r="BP47" s="77">
        <f t="shared" si="21"/>
        <v>6.5217300000000006E-2</v>
      </c>
      <c r="BQ47" s="196">
        <v>1.006</v>
      </c>
      <c r="BR47" s="197">
        <v>0</v>
      </c>
      <c r="BS47" s="197">
        <f t="shared" si="22"/>
        <v>0.71134942187366679</v>
      </c>
      <c r="BT47" s="197">
        <f t="shared" si="23"/>
        <v>0.503</v>
      </c>
      <c r="BU47" s="199">
        <f t="shared" si="24"/>
        <v>4.1382147264500208E-2</v>
      </c>
      <c r="BV47" s="199">
        <f t="shared" si="25"/>
        <v>1.09347673E-2</v>
      </c>
      <c r="BW47" s="196">
        <v>230</v>
      </c>
      <c r="BX47" s="196">
        <f t="shared" si="26"/>
        <v>3.7694536586644989</v>
      </c>
      <c r="BY47" s="196">
        <f t="shared" si="0"/>
        <v>4.9999929999999999</v>
      </c>
      <c r="BZ47" s="75">
        <v>0.14000000000000001</v>
      </c>
      <c r="CA47" s="75">
        <v>0.25600000000000001</v>
      </c>
      <c r="CB47" s="77">
        <v>0.45</v>
      </c>
      <c r="CC47" s="77">
        <v>0.91</v>
      </c>
      <c r="CD47" s="77">
        <f t="shared" si="27"/>
        <v>0.68</v>
      </c>
      <c r="CE47" s="77">
        <v>41.746000000000002</v>
      </c>
      <c r="CF47" s="77">
        <v>40.130000000000003</v>
      </c>
      <c r="CG47" s="77">
        <f t="shared" si="28"/>
        <v>40.938000000000002</v>
      </c>
      <c r="CH47" s="75">
        <f t="shared" si="29"/>
        <v>1.1548095909732017</v>
      </c>
      <c r="CI47" s="75">
        <f t="shared" si="30"/>
        <v>0.88995527580000011</v>
      </c>
      <c r="CJ47" s="77">
        <v>7.0000000000000007E-2</v>
      </c>
      <c r="CK47" s="77">
        <v>0.02</v>
      </c>
      <c r="CL47" s="77">
        <f t="shared" si="31"/>
        <v>4.5000000000000005E-2</v>
      </c>
      <c r="CM47" s="77">
        <v>13.247</v>
      </c>
      <c r="CN47" s="77">
        <v>11.92</v>
      </c>
      <c r="CO47" s="77">
        <f t="shared" si="32"/>
        <v>12.583500000000001</v>
      </c>
      <c r="CP47" s="77">
        <v>3.1030000000000002</v>
      </c>
      <c r="CQ47" s="77">
        <v>3.01</v>
      </c>
      <c r="CR47" s="77">
        <f t="shared" si="33"/>
        <v>3.0564999999999998</v>
      </c>
      <c r="CS47" s="77">
        <v>0</v>
      </c>
      <c r="CT47" s="77">
        <v>0</v>
      </c>
      <c r="CU47" s="77">
        <f t="shared" si="34"/>
        <v>0</v>
      </c>
      <c r="CV47" s="201">
        <f t="shared" si="35"/>
        <v>0</v>
      </c>
      <c r="CW47" s="202">
        <f t="shared" si="36"/>
        <v>0.19109021652943359</v>
      </c>
      <c r="CX47" s="202">
        <f t="shared" si="37"/>
        <v>3.7694536586644989</v>
      </c>
      <c r="CY47" s="202">
        <f t="shared" si="38"/>
        <v>5.0694406625796273E-2</v>
      </c>
      <c r="CZ47" s="202">
        <f t="shared" si="39"/>
        <v>1.6006840016819057</v>
      </c>
      <c r="DA47" s="202">
        <f t="shared" si="40"/>
        <v>1.750392070946839</v>
      </c>
      <c r="DB47" s="202">
        <f t="shared" si="41"/>
        <v>0.91447169365663783</v>
      </c>
      <c r="DC47" s="203"/>
    </row>
    <row r="48" spans="1:107" ht="18" x14ac:dyDescent="0.3">
      <c r="A48" s="183" t="s">
        <v>586</v>
      </c>
      <c r="B48" s="183">
        <v>26.164539999999999</v>
      </c>
      <c r="C48" s="183">
        <v>91.684970000000007</v>
      </c>
      <c r="D48" s="211" t="s">
        <v>587</v>
      </c>
      <c r="E48" s="183" t="s">
        <v>588</v>
      </c>
      <c r="F48" s="190">
        <v>26</v>
      </c>
      <c r="G48" s="183"/>
      <c r="H48" s="183"/>
      <c r="I48" s="183"/>
      <c r="J48" s="183"/>
      <c r="K48" s="183"/>
      <c r="L48" s="183"/>
      <c r="M48" s="190">
        <v>30</v>
      </c>
      <c r="N48" s="183"/>
      <c r="O48" s="183"/>
      <c r="P48" s="183"/>
      <c r="Q48" s="207">
        <v>13</v>
      </c>
      <c r="R48" s="183"/>
      <c r="S48" s="183"/>
      <c r="T48" s="183"/>
      <c r="U48" s="207">
        <v>18</v>
      </c>
      <c r="V48" s="183"/>
      <c r="W48" s="183"/>
      <c r="X48" s="183"/>
      <c r="Y48" s="183" t="s">
        <v>589</v>
      </c>
      <c r="Z48" s="206">
        <v>120</v>
      </c>
      <c r="AA48" s="183">
        <v>7.9</v>
      </c>
      <c r="AB48" s="191">
        <v>22.25</v>
      </c>
      <c r="AC48" s="183">
        <v>0.1</v>
      </c>
      <c r="AD48" s="183">
        <v>321</v>
      </c>
      <c r="AE48" s="183">
        <v>-293</v>
      </c>
      <c r="AF48" s="192">
        <f t="shared" si="1"/>
        <v>-88</v>
      </c>
      <c r="AG48" s="193">
        <f t="shared" si="2"/>
        <v>-8.7999999999999995E-2</v>
      </c>
      <c r="AH48" s="183">
        <v>132</v>
      </c>
      <c r="AI48" s="183">
        <v>321</v>
      </c>
      <c r="AJ48" s="197">
        <v>3.552</v>
      </c>
      <c r="AK48" s="197">
        <v>7.2110000000000003</v>
      </c>
      <c r="AL48" s="197">
        <f t="shared" si="3"/>
        <v>2.5873037123615794</v>
      </c>
      <c r="AM48" s="197">
        <f t="shared" si="4"/>
        <v>5.3815</v>
      </c>
      <c r="AN48" s="197">
        <v>7.4109999999999996</v>
      </c>
      <c r="AO48" s="197">
        <v>7.2030000000000003</v>
      </c>
      <c r="AP48" s="197">
        <f t="shared" si="5"/>
        <v>0.14707821048680139</v>
      </c>
      <c r="AQ48" s="197">
        <f t="shared" si="6"/>
        <v>14.614000000000001</v>
      </c>
      <c r="AR48" s="208">
        <f t="shared" si="7"/>
        <v>9.9977499999999999</v>
      </c>
      <c r="AS48" s="209">
        <v>0</v>
      </c>
      <c r="AT48" s="209">
        <v>0</v>
      </c>
      <c r="AU48" s="198">
        <f t="shared" si="8"/>
        <v>0</v>
      </c>
      <c r="AV48" s="198">
        <f t="shared" si="9"/>
        <v>0</v>
      </c>
      <c r="AW48" s="196">
        <v>67.099000000000004</v>
      </c>
      <c r="AX48" s="196">
        <v>63.384999999999998</v>
      </c>
      <c r="AY48" s="196">
        <f t="shared" si="10"/>
        <v>2.6261945853268416</v>
      </c>
      <c r="AZ48" s="197">
        <f t="shared" si="11"/>
        <v>65.242000000000004</v>
      </c>
      <c r="BA48" s="199">
        <f t="shared" si="12"/>
        <v>2.837842540234885</v>
      </c>
      <c r="BB48" s="196">
        <v>1.7070000000000001</v>
      </c>
      <c r="BC48" s="196">
        <v>1.69</v>
      </c>
      <c r="BD48" s="196">
        <f t="shared" si="13"/>
        <v>1.2020815280171397E-2</v>
      </c>
      <c r="BE48" s="196">
        <f t="shared" si="14"/>
        <v>3.3970000000000002</v>
      </c>
      <c r="BF48" s="196">
        <v>3.2050000000000001</v>
      </c>
      <c r="BG48" s="196">
        <v>1.139</v>
      </c>
      <c r="BH48" s="196">
        <f t="shared" si="15"/>
        <v>1.4608826099314074</v>
      </c>
      <c r="BI48" s="200">
        <f t="shared" si="16"/>
        <v>2.1720000000000002</v>
      </c>
      <c r="BJ48" s="199">
        <f t="shared" si="17"/>
        <v>5.5678031274032307E-2</v>
      </c>
      <c r="BK48" s="197">
        <v>7</v>
      </c>
      <c r="BL48" s="197">
        <v>0</v>
      </c>
      <c r="BM48" s="197">
        <f t="shared" si="18"/>
        <v>4.9497474683058327</v>
      </c>
      <c r="BN48" s="197">
        <f t="shared" si="19"/>
        <v>3.5</v>
      </c>
      <c r="BO48" s="77">
        <f t="shared" si="20"/>
        <v>0.17465941414242225</v>
      </c>
      <c r="BP48" s="77">
        <f t="shared" si="21"/>
        <v>7.6086849999999998E-2</v>
      </c>
      <c r="BQ48" s="197">
        <v>1.1000000000000001</v>
      </c>
      <c r="BR48" s="197">
        <v>0</v>
      </c>
      <c r="BS48" s="197">
        <f t="shared" si="22"/>
        <v>0.7778174593052023</v>
      </c>
      <c r="BT48" s="197">
        <f t="shared" si="23"/>
        <v>0.55000000000000004</v>
      </c>
      <c r="BU48" s="199">
        <f t="shared" si="24"/>
        <v>4.5248868778280549E-2</v>
      </c>
      <c r="BV48" s="199">
        <f t="shared" si="25"/>
        <v>1.1956505000000001E-2</v>
      </c>
      <c r="BW48" s="196">
        <v>152.00000000000003</v>
      </c>
      <c r="BX48" s="196">
        <f t="shared" si="26"/>
        <v>2.4911172005087128</v>
      </c>
      <c r="BY48" s="196">
        <f t="shared" si="0"/>
        <v>3.3043432000000008</v>
      </c>
      <c r="BZ48" s="75">
        <v>0.17</v>
      </c>
      <c r="CA48" s="75">
        <v>0.23899999999999999</v>
      </c>
      <c r="CB48" s="77">
        <v>0.19500000000000001</v>
      </c>
      <c r="CC48" s="77">
        <v>0.20100000000000001</v>
      </c>
      <c r="CD48" s="77">
        <f t="shared" si="27"/>
        <v>0.19800000000000001</v>
      </c>
      <c r="CE48" s="77">
        <v>85.17</v>
      </c>
      <c r="CF48" s="77">
        <v>83.774000000000001</v>
      </c>
      <c r="CG48" s="77">
        <f t="shared" si="28"/>
        <v>84.472000000000008</v>
      </c>
      <c r="CH48" s="75">
        <f t="shared" si="29"/>
        <v>2.3828490832157971</v>
      </c>
      <c r="CI48" s="75">
        <f t="shared" si="30"/>
        <v>1.8363452552000004</v>
      </c>
      <c r="CJ48" s="77">
        <v>9.6000000000000002E-2</v>
      </c>
      <c r="CK48" s="77">
        <v>7.0999999999999994E-2</v>
      </c>
      <c r="CL48" s="77">
        <f t="shared" si="31"/>
        <v>8.3499999999999991E-2</v>
      </c>
      <c r="CM48" s="77">
        <v>5.1189999999999998</v>
      </c>
      <c r="CN48" s="77">
        <v>5.1100000000000003</v>
      </c>
      <c r="CO48" s="77">
        <f t="shared" si="32"/>
        <v>5.1144999999999996</v>
      </c>
      <c r="CP48" s="77">
        <v>0</v>
      </c>
      <c r="CQ48" s="77">
        <v>0</v>
      </c>
      <c r="CR48" s="77">
        <f t="shared" si="33"/>
        <v>0</v>
      </c>
      <c r="CS48" s="77">
        <v>83.498999999999995</v>
      </c>
      <c r="CT48" s="77">
        <v>82.388999999999996</v>
      </c>
      <c r="CU48" s="77">
        <f t="shared" si="34"/>
        <v>82.943999999999988</v>
      </c>
      <c r="CV48" s="201">
        <f t="shared" si="35"/>
        <v>1.7269206745783883</v>
      </c>
      <c r="CW48" s="202">
        <f t="shared" si="36"/>
        <v>0.2199082829207028</v>
      </c>
      <c r="CX48" s="202">
        <f t="shared" si="37"/>
        <v>4.2180378750871013</v>
      </c>
      <c r="CY48" s="202">
        <f t="shared" si="38"/>
        <v>8.8276971824446951E-2</v>
      </c>
      <c r="CZ48" s="202">
        <f t="shared" si="39"/>
        <v>2.8935205715089172</v>
      </c>
      <c r="DA48" s="202">
        <f t="shared" si="40"/>
        <v>3.0681799856513394</v>
      </c>
      <c r="DB48" s="202">
        <f t="shared" si="41"/>
        <v>0.94307393472376622</v>
      </c>
      <c r="DC48" s="203"/>
    </row>
    <row r="49" spans="1:107" ht="15.6" x14ac:dyDescent="0.3">
      <c r="A49" s="183" t="s">
        <v>590</v>
      </c>
      <c r="B49" s="183">
        <v>26.164860000000001</v>
      </c>
      <c r="C49" s="183">
        <v>91.686769999999996</v>
      </c>
      <c r="D49" s="211" t="s">
        <v>591</v>
      </c>
      <c r="E49" s="183" t="s">
        <v>592</v>
      </c>
      <c r="F49" s="190">
        <v>150</v>
      </c>
      <c r="G49" s="183"/>
      <c r="H49" s="183"/>
      <c r="I49" s="183"/>
      <c r="J49" s="183"/>
      <c r="K49" s="183"/>
      <c r="L49" s="183"/>
      <c r="M49" s="190">
        <v>170</v>
      </c>
      <c r="N49" s="183"/>
      <c r="O49" s="183"/>
      <c r="P49" s="183"/>
      <c r="Q49" s="190">
        <v>100</v>
      </c>
      <c r="R49" s="183"/>
      <c r="S49" s="183"/>
      <c r="T49" s="183"/>
      <c r="U49" s="190">
        <v>130</v>
      </c>
      <c r="V49" s="183"/>
      <c r="W49" s="183"/>
      <c r="X49" s="183"/>
      <c r="Y49" s="183" t="s">
        <v>570</v>
      </c>
      <c r="Z49" s="206">
        <v>100</v>
      </c>
      <c r="AA49" s="183">
        <v>7.6</v>
      </c>
      <c r="AB49" s="191">
        <v>21.6</v>
      </c>
      <c r="AC49" s="183">
        <v>1.6</v>
      </c>
      <c r="AD49" s="183">
        <v>366</v>
      </c>
      <c r="AE49" s="183">
        <v>154</v>
      </c>
      <c r="AF49" s="192">
        <f t="shared" si="1"/>
        <v>359</v>
      </c>
      <c r="AG49" s="193">
        <f t="shared" si="2"/>
        <v>0.35899999999999999</v>
      </c>
      <c r="AH49" s="183">
        <v>181</v>
      </c>
      <c r="AI49" s="183">
        <v>366</v>
      </c>
      <c r="AJ49" s="197">
        <v>0</v>
      </c>
      <c r="AK49" s="197">
        <v>0</v>
      </c>
      <c r="AL49" s="197">
        <f t="shared" si="3"/>
        <v>0</v>
      </c>
      <c r="AM49" s="197">
        <f t="shared" si="4"/>
        <v>0</v>
      </c>
      <c r="AN49" s="197">
        <v>0</v>
      </c>
      <c r="AO49" s="197">
        <v>0</v>
      </c>
      <c r="AP49" s="197">
        <f t="shared" si="5"/>
        <v>0</v>
      </c>
      <c r="AQ49" s="197">
        <f t="shared" si="6"/>
        <v>0</v>
      </c>
      <c r="AR49" s="77">
        <f t="shared" si="7"/>
        <v>0</v>
      </c>
      <c r="AS49" s="209">
        <v>5.0000000000000001E-3</v>
      </c>
      <c r="AT49" s="209">
        <v>6.0000000000000001E-3</v>
      </c>
      <c r="AU49" s="198">
        <f t="shared" si="8"/>
        <v>7.0710678118654762E-4</v>
      </c>
      <c r="AV49" s="198">
        <f t="shared" si="9"/>
        <v>5.4999999999999997E-3</v>
      </c>
      <c r="AW49" s="196">
        <v>24.103000000000002</v>
      </c>
      <c r="AX49" s="196">
        <v>23.173999999999999</v>
      </c>
      <c r="AY49" s="196">
        <f t="shared" si="10"/>
        <v>0.65690219972230413</v>
      </c>
      <c r="AZ49" s="197">
        <f t="shared" si="11"/>
        <v>23.638500000000001</v>
      </c>
      <c r="BA49" s="199">
        <f t="shared" si="12"/>
        <v>1.0282079164854285</v>
      </c>
      <c r="BB49" s="196">
        <v>2.1000000000000001E-2</v>
      </c>
      <c r="BC49" s="196">
        <v>0.55600000000000005</v>
      </c>
      <c r="BD49" s="196">
        <f t="shared" si="13"/>
        <v>0.378302127934803</v>
      </c>
      <c r="BE49" s="196">
        <f t="shared" si="14"/>
        <v>0.57700000000000007</v>
      </c>
      <c r="BF49" s="196">
        <v>1.105</v>
      </c>
      <c r="BG49" s="196">
        <v>1.042</v>
      </c>
      <c r="BH49" s="196">
        <f t="shared" si="15"/>
        <v>4.4547727214752454E-2</v>
      </c>
      <c r="BI49" s="200">
        <f t="shared" si="16"/>
        <v>1.0735000000000001</v>
      </c>
      <c r="BJ49" s="199">
        <f t="shared" si="17"/>
        <v>2.7518584978210719E-2</v>
      </c>
      <c r="BK49" s="197">
        <v>7</v>
      </c>
      <c r="BL49" s="197">
        <v>0</v>
      </c>
      <c r="BM49" s="197">
        <f t="shared" si="18"/>
        <v>4.9497474683058327</v>
      </c>
      <c r="BN49" s="197">
        <f t="shared" si="19"/>
        <v>3.5</v>
      </c>
      <c r="BO49" s="77">
        <f t="shared" si="20"/>
        <v>0.17465941414242225</v>
      </c>
      <c r="BP49" s="77">
        <f t="shared" si="21"/>
        <v>7.6086849999999998E-2</v>
      </c>
      <c r="BQ49" s="197">
        <v>2</v>
      </c>
      <c r="BR49" s="197">
        <v>0</v>
      </c>
      <c r="BS49" s="197">
        <f t="shared" si="22"/>
        <v>1.4142135623730951</v>
      </c>
      <c r="BT49" s="197">
        <f t="shared" si="23"/>
        <v>1</v>
      </c>
      <c r="BU49" s="199">
        <f t="shared" si="24"/>
        <v>8.2270670505964621E-2</v>
      </c>
      <c r="BV49" s="199">
        <f t="shared" si="25"/>
        <v>2.1739100000000001E-2</v>
      </c>
      <c r="BW49" s="196">
        <v>157.99999999999997</v>
      </c>
      <c r="BX49" s="196">
        <f t="shared" si="26"/>
        <v>2.5894507742130028</v>
      </c>
      <c r="BY49" s="196">
        <f t="shared" si="0"/>
        <v>3.4347777999999995</v>
      </c>
      <c r="BZ49" s="75">
        <v>0.13</v>
      </c>
      <c r="CA49" s="75">
        <v>0.29099999999999998</v>
      </c>
      <c r="CB49" s="77">
        <v>0.73299999999999998</v>
      </c>
      <c r="CC49" s="77">
        <v>0.72399999999999998</v>
      </c>
      <c r="CD49" s="77">
        <f t="shared" si="27"/>
        <v>0.72849999999999993</v>
      </c>
      <c r="CE49" s="77">
        <v>2.5859999999999999</v>
      </c>
      <c r="CF49" s="77">
        <v>2.6389999999999998</v>
      </c>
      <c r="CG49" s="77">
        <f t="shared" si="28"/>
        <v>2.6124999999999998</v>
      </c>
      <c r="CH49" s="75">
        <f t="shared" si="29"/>
        <v>7.3695345557122691E-2</v>
      </c>
      <c r="CI49" s="75">
        <f t="shared" si="30"/>
        <v>5.6793398750000001E-2</v>
      </c>
      <c r="CJ49" s="77">
        <v>0</v>
      </c>
      <c r="CK49" s="77">
        <v>0</v>
      </c>
      <c r="CL49" s="77">
        <f t="shared" si="31"/>
        <v>0</v>
      </c>
      <c r="CM49" s="77">
        <v>0</v>
      </c>
      <c r="CN49" s="77">
        <v>0</v>
      </c>
      <c r="CO49" s="77">
        <f t="shared" si="32"/>
        <v>0</v>
      </c>
      <c r="CP49" s="77">
        <v>0</v>
      </c>
      <c r="CQ49" s="77">
        <v>0</v>
      </c>
      <c r="CR49" s="77">
        <f t="shared" si="33"/>
        <v>0</v>
      </c>
      <c r="CS49" s="77">
        <v>2.7240000000000002</v>
      </c>
      <c r="CT49" s="77">
        <v>3.1560000000000001</v>
      </c>
      <c r="CU49" s="77">
        <f t="shared" si="34"/>
        <v>2.9400000000000004</v>
      </c>
      <c r="CV49" s="201">
        <f t="shared" si="35"/>
        <v>6.1211742660836982E-2</v>
      </c>
      <c r="CW49" s="202">
        <f t="shared" si="36"/>
        <v>0.25693008464838685</v>
      </c>
      <c r="CX49" s="202">
        <f t="shared" si="37"/>
        <v>2.6506625168738398</v>
      </c>
      <c r="CY49" s="202">
        <f t="shared" si="38"/>
        <v>9.9221845499833511E-2</v>
      </c>
      <c r="CZ49" s="202">
        <f t="shared" si="39"/>
        <v>1.0557265014636392</v>
      </c>
      <c r="DA49" s="202">
        <f t="shared" si="40"/>
        <v>1.2303859156060615</v>
      </c>
      <c r="DB49" s="202">
        <f t="shared" si="41"/>
        <v>0.85804501504197661</v>
      </c>
      <c r="DC49" s="203"/>
    </row>
    <row r="50" spans="1:107" ht="15.6" x14ac:dyDescent="0.3">
      <c r="A50" s="183" t="s">
        <v>593</v>
      </c>
      <c r="B50" s="183">
        <v>26.164059999999999</v>
      </c>
      <c r="C50" s="183">
        <v>91.686859999999996</v>
      </c>
      <c r="D50" s="211" t="s">
        <v>594</v>
      </c>
      <c r="E50" s="183" t="s">
        <v>595</v>
      </c>
      <c r="F50" s="190">
        <v>40</v>
      </c>
      <c r="G50" s="183"/>
      <c r="H50" s="183"/>
      <c r="I50" s="183"/>
      <c r="J50" s="183"/>
      <c r="K50" s="183"/>
      <c r="L50" s="183"/>
      <c r="M50" s="190">
        <v>60</v>
      </c>
      <c r="N50" s="183"/>
      <c r="O50" s="183"/>
      <c r="P50" s="183"/>
      <c r="Q50" s="190">
        <v>30</v>
      </c>
      <c r="R50" s="183"/>
      <c r="S50" s="183"/>
      <c r="T50" s="183"/>
      <c r="U50" s="190">
        <v>40</v>
      </c>
      <c r="V50" s="183"/>
      <c r="W50" s="183"/>
      <c r="X50" s="183"/>
      <c r="Y50" s="183"/>
      <c r="Z50" s="206">
        <v>140</v>
      </c>
      <c r="AA50" s="183">
        <v>7.3</v>
      </c>
      <c r="AB50" s="191">
        <v>21.46</v>
      </c>
      <c r="AC50" s="183">
        <v>1.4</v>
      </c>
      <c r="AD50" s="183">
        <v>372</v>
      </c>
      <c r="AE50" s="183">
        <v>167</v>
      </c>
      <c r="AF50" s="192">
        <f t="shared" si="1"/>
        <v>372</v>
      </c>
      <c r="AG50" s="193">
        <f t="shared" si="2"/>
        <v>0.372</v>
      </c>
      <c r="AH50" s="183">
        <v>101</v>
      </c>
      <c r="AI50" s="183">
        <v>372</v>
      </c>
      <c r="AJ50" s="197">
        <v>0</v>
      </c>
      <c r="AK50" s="197">
        <v>0</v>
      </c>
      <c r="AL50" s="197">
        <f t="shared" si="3"/>
        <v>0</v>
      </c>
      <c r="AM50" s="197">
        <f t="shared" si="4"/>
        <v>0</v>
      </c>
      <c r="AN50" s="197">
        <v>0</v>
      </c>
      <c r="AO50" s="197">
        <v>0</v>
      </c>
      <c r="AP50" s="197">
        <f t="shared" si="5"/>
        <v>0</v>
      </c>
      <c r="AQ50" s="197">
        <f t="shared" si="6"/>
        <v>0</v>
      </c>
      <c r="AR50" s="77">
        <f t="shared" si="7"/>
        <v>0</v>
      </c>
      <c r="AS50" s="209">
        <v>6.0000000000000001E-3</v>
      </c>
      <c r="AT50" s="209">
        <v>8.9999999999999993E-3</v>
      </c>
      <c r="AU50" s="198">
        <f t="shared" si="8"/>
        <v>2.121320343559642E-3</v>
      </c>
      <c r="AV50" s="198">
        <f t="shared" si="9"/>
        <v>7.4999999999999997E-3</v>
      </c>
      <c r="AW50" s="196">
        <v>38.555</v>
      </c>
      <c r="AX50" s="196">
        <v>40.816000000000003</v>
      </c>
      <c r="AY50" s="196">
        <f t="shared" si="10"/>
        <v>1.598768432262786</v>
      </c>
      <c r="AZ50" s="197">
        <f t="shared" si="11"/>
        <v>39.685500000000005</v>
      </c>
      <c r="BA50" s="199">
        <f t="shared" si="12"/>
        <v>1.726207046541975</v>
      </c>
      <c r="BB50" s="196">
        <v>8.9999999999999993E-3</v>
      </c>
      <c r="BC50" s="196">
        <v>1.4999999999999999E-2</v>
      </c>
      <c r="BD50" s="196">
        <f t="shared" si="13"/>
        <v>4.2426406871192788E-3</v>
      </c>
      <c r="BE50" s="196">
        <f t="shared" si="14"/>
        <v>2.4E-2</v>
      </c>
      <c r="BF50" s="196">
        <v>3.04</v>
      </c>
      <c r="BG50" s="196">
        <v>3.2080000000000002</v>
      </c>
      <c r="BH50" s="196">
        <f t="shared" si="15"/>
        <v>0.11879393923934009</v>
      </c>
      <c r="BI50" s="200">
        <f t="shared" si="16"/>
        <v>3.1240000000000001</v>
      </c>
      <c r="BJ50" s="199">
        <f t="shared" si="17"/>
        <v>8.0082030248654193E-2</v>
      </c>
      <c r="BK50" s="197">
        <v>9</v>
      </c>
      <c r="BL50" s="197">
        <v>0</v>
      </c>
      <c r="BM50" s="197">
        <f t="shared" si="18"/>
        <v>6.3639610306789276</v>
      </c>
      <c r="BN50" s="197">
        <f t="shared" si="19"/>
        <v>4.5</v>
      </c>
      <c r="BO50" s="77">
        <f t="shared" si="20"/>
        <v>0.22456210389740006</v>
      </c>
      <c r="BP50" s="77">
        <f t="shared" si="21"/>
        <v>9.7825950000000009E-2</v>
      </c>
      <c r="BQ50" s="197">
        <v>1.3</v>
      </c>
      <c r="BR50" s="197">
        <v>0</v>
      </c>
      <c r="BS50" s="197">
        <f t="shared" si="22"/>
        <v>0.91923881554251186</v>
      </c>
      <c r="BT50" s="197">
        <f t="shared" si="23"/>
        <v>0.65</v>
      </c>
      <c r="BU50" s="199">
        <f t="shared" si="24"/>
        <v>5.3475935828877011E-2</v>
      </c>
      <c r="BV50" s="199">
        <f t="shared" si="25"/>
        <v>1.4130415E-2</v>
      </c>
      <c r="BW50" s="196">
        <v>232.00000000000003</v>
      </c>
      <c r="BX50" s="196">
        <f t="shared" si="26"/>
        <v>3.8022315165659295</v>
      </c>
      <c r="BY50" s="196">
        <f t="shared" si="0"/>
        <v>5.0434712000000008</v>
      </c>
      <c r="BZ50" s="75">
        <v>0.11</v>
      </c>
      <c r="CA50" s="75">
        <v>0.247</v>
      </c>
      <c r="CB50" s="77">
        <v>2.7869999999999999</v>
      </c>
      <c r="CC50" s="77">
        <v>2.6509999999999998</v>
      </c>
      <c r="CD50" s="77">
        <f t="shared" si="27"/>
        <v>2.7189999999999999</v>
      </c>
      <c r="CE50" s="77">
        <v>2.3090000000000002</v>
      </c>
      <c r="CF50" s="77">
        <v>2.6629999999999998</v>
      </c>
      <c r="CG50" s="77">
        <f t="shared" si="28"/>
        <v>2.4859999999999998</v>
      </c>
      <c r="CH50" s="75">
        <f t="shared" si="29"/>
        <v>7.0126939351198861E-2</v>
      </c>
      <c r="CI50" s="75">
        <f t="shared" si="30"/>
        <v>5.4043402599999998E-2</v>
      </c>
      <c r="CJ50" s="77">
        <v>0</v>
      </c>
      <c r="CK50" s="77">
        <v>0</v>
      </c>
      <c r="CL50" s="77">
        <f t="shared" si="31"/>
        <v>0</v>
      </c>
      <c r="CM50" s="77">
        <v>0</v>
      </c>
      <c r="CN50" s="77">
        <v>0</v>
      </c>
      <c r="CO50" s="77">
        <f t="shared" si="32"/>
        <v>0</v>
      </c>
      <c r="CP50" s="77">
        <v>17.244</v>
      </c>
      <c r="CQ50" s="77">
        <v>0</v>
      </c>
      <c r="CR50" s="77">
        <f t="shared" si="33"/>
        <v>8.6219999999999999</v>
      </c>
      <c r="CS50" s="77">
        <v>0</v>
      </c>
      <c r="CT50" s="77">
        <v>73.316000000000003</v>
      </c>
      <c r="CU50" s="77">
        <f t="shared" si="34"/>
        <v>36.658000000000001</v>
      </c>
      <c r="CV50" s="201">
        <f t="shared" si="35"/>
        <v>0.76323131376223197</v>
      </c>
      <c r="CW50" s="202">
        <f t="shared" si="36"/>
        <v>0.27803803972627705</v>
      </c>
      <c r="CX50" s="202">
        <f t="shared" si="37"/>
        <v>4.5654628303281619</v>
      </c>
      <c r="CY50" s="202">
        <f t="shared" si="38"/>
        <v>7.3124963199871981E-2</v>
      </c>
      <c r="CZ50" s="202">
        <f t="shared" si="39"/>
        <v>1.8062890767906292</v>
      </c>
      <c r="DA50" s="202">
        <f t="shared" si="40"/>
        <v>2.0308511806880292</v>
      </c>
      <c r="DB50" s="202">
        <f t="shared" si="41"/>
        <v>0.88942463828328333</v>
      </c>
      <c r="DC50" s="203"/>
    </row>
    <row r="51" spans="1:107" ht="15.6" x14ac:dyDescent="0.3">
      <c r="A51" s="183" t="s">
        <v>596</v>
      </c>
      <c r="B51" s="183">
        <v>26.168320000000001</v>
      </c>
      <c r="C51" s="183">
        <v>91.68441</v>
      </c>
      <c r="D51" s="211" t="s">
        <v>597</v>
      </c>
      <c r="E51" s="183" t="s">
        <v>598</v>
      </c>
      <c r="F51" s="190">
        <v>1000</v>
      </c>
      <c r="G51" s="183"/>
      <c r="H51" s="183"/>
      <c r="I51" s="183"/>
      <c r="J51" s="183"/>
      <c r="K51" s="183"/>
      <c r="L51" s="183"/>
      <c r="M51" s="190">
        <v>800</v>
      </c>
      <c r="N51" s="183"/>
      <c r="O51" s="183"/>
      <c r="P51" s="183"/>
      <c r="Q51" s="190">
        <v>2000</v>
      </c>
      <c r="R51" s="183"/>
      <c r="S51" s="183"/>
      <c r="T51" s="183"/>
      <c r="U51" s="190">
        <v>1600</v>
      </c>
      <c r="V51" s="183"/>
      <c r="W51" s="183"/>
      <c r="X51" s="183"/>
      <c r="Y51" s="183" t="s">
        <v>599</v>
      </c>
      <c r="Z51" s="206">
        <v>120</v>
      </c>
      <c r="AA51" s="183">
        <v>6.8</v>
      </c>
      <c r="AB51" s="191">
        <v>24.35</v>
      </c>
      <c r="AC51" s="183">
        <v>1.2</v>
      </c>
      <c r="AD51" s="183">
        <v>355</v>
      </c>
      <c r="AE51" s="183">
        <v>166</v>
      </c>
      <c r="AF51" s="192">
        <f t="shared" si="1"/>
        <v>371</v>
      </c>
      <c r="AG51" s="193">
        <f t="shared" si="2"/>
        <v>0.371</v>
      </c>
      <c r="AH51" s="183">
        <v>164</v>
      </c>
      <c r="AI51" s="183">
        <v>355</v>
      </c>
      <c r="AJ51" s="197">
        <v>0</v>
      </c>
      <c r="AK51" s="197">
        <v>0</v>
      </c>
      <c r="AL51" s="197">
        <f t="shared" si="3"/>
        <v>0</v>
      </c>
      <c r="AM51" s="197">
        <f t="shared" si="4"/>
        <v>0</v>
      </c>
      <c r="AN51" s="197">
        <v>0</v>
      </c>
      <c r="AO51" s="197">
        <v>0</v>
      </c>
      <c r="AP51" s="197">
        <f t="shared" si="5"/>
        <v>0</v>
      </c>
      <c r="AQ51" s="197">
        <f t="shared" si="6"/>
        <v>0</v>
      </c>
      <c r="AR51" s="77">
        <f t="shared" si="7"/>
        <v>0</v>
      </c>
      <c r="AS51" s="209">
        <v>4.0000000000000001E-3</v>
      </c>
      <c r="AT51" s="209">
        <v>3.0000000000000001E-3</v>
      </c>
      <c r="AU51" s="198">
        <f t="shared" si="8"/>
        <v>7.0710678118654751E-4</v>
      </c>
      <c r="AV51" s="198">
        <f t="shared" si="9"/>
        <v>3.5000000000000001E-3</v>
      </c>
      <c r="AW51" s="196">
        <v>43.511000000000003</v>
      </c>
      <c r="AX51" s="196">
        <v>41.121000000000002</v>
      </c>
      <c r="AY51" s="196">
        <f t="shared" si="10"/>
        <v>1.689985207035849</v>
      </c>
      <c r="AZ51" s="197">
        <f t="shared" si="11"/>
        <v>42.316000000000003</v>
      </c>
      <c r="BA51" s="199">
        <f t="shared" si="12"/>
        <v>1.8406263592866465</v>
      </c>
      <c r="BB51" s="196">
        <v>0.81599999999999995</v>
      </c>
      <c r="BC51" s="196">
        <v>0.90100000000000002</v>
      </c>
      <c r="BD51" s="196">
        <f t="shared" si="13"/>
        <v>6.010407640085659E-2</v>
      </c>
      <c r="BE51" s="196">
        <f t="shared" si="14"/>
        <v>1.7170000000000001</v>
      </c>
      <c r="BF51" s="196">
        <v>1.5049999999999999</v>
      </c>
      <c r="BG51" s="196">
        <v>1.4550000000000001</v>
      </c>
      <c r="BH51" s="196">
        <f t="shared" si="15"/>
        <v>3.5355339059327251E-2</v>
      </c>
      <c r="BI51" s="200">
        <f t="shared" si="16"/>
        <v>1.48</v>
      </c>
      <c r="BJ51" s="199">
        <f t="shared" si="17"/>
        <v>3.7938990002563448E-2</v>
      </c>
      <c r="BK51" s="197">
        <v>10</v>
      </c>
      <c r="BL51" s="197">
        <v>0</v>
      </c>
      <c r="BM51" s="197">
        <f t="shared" si="18"/>
        <v>7.0710678118654755</v>
      </c>
      <c r="BN51" s="197">
        <f t="shared" si="19"/>
        <v>5</v>
      </c>
      <c r="BO51" s="77">
        <f t="shared" si="20"/>
        <v>0.24951344877488896</v>
      </c>
      <c r="BP51" s="77">
        <f t="shared" si="21"/>
        <v>0.1086955</v>
      </c>
      <c r="BQ51" s="197">
        <v>1.7</v>
      </c>
      <c r="BR51" s="197">
        <v>0</v>
      </c>
      <c r="BS51" s="197">
        <f t="shared" si="22"/>
        <v>1.2020815280171306</v>
      </c>
      <c r="BT51" s="197">
        <f t="shared" si="23"/>
        <v>0.85</v>
      </c>
      <c r="BU51" s="199">
        <f t="shared" si="24"/>
        <v>6.9930069930069935E-2</v>
      </c>
      <c r="BV51" s="199">
        <f t="shared" si="25"/>
        <v>1.8478234999999999E-2</v>
      </c>
      <c r="BW51" s="196">
        <v>246</v>
      </c>
      <c r="BX51" s="196">
        <f t="shared" si="26"/>
        <v>4.0316765218759425</v>
      </c>
      <c r="BY51" s="196">
        <f t="shared" si="0"/>
        <v>5.3478186000000001</v>
      </c>
      <c r="BZ51" s="75">
        <v>0.13</v>
      </c>
      <c r="CA51" s="75">
        <v>0.251</v>
      </c>
      <c r="CB51" s="77">
        <v>0.69799999999999995</v>
      </c>
      <c r="CC51" s="77">
        <v>0.71099999999999997</v>
      </c>
      <c r="CD51" s="77">
        <f t="shared" si="27"/>
        <v>0.7044999999999999</v>
      </c>
      <c r="CE51" s="77">
        <v>1.4259999999999999</v>
      </c>
      <c r="CF51" s="77">
        <v>1.091</v>
      </c>
      <c r="CG51" s="77">
        <f t="shared" si="28"/>
        <v>1.2585</v>
      </c>
      <c r="CH51" s="75">
        <f t="shared" si="29"/>
        <v>3.550070521861777E-2</v>
      </c>
      <c r="CI51" s="75">
        <f t="shared" si="30"/>
        <v>2.7358657349999999E-2</v>
      </c>
      <c r="CJ51" s="77">
        <v>0</v>
      </c>
      <c r="CK51" s="77">
        <v>0</v>
      </c>
      <c r="CL51" s="77">
        <f t="shared" si="31"/>
        <v>0</v>
      </c>
      <c r="CM51" s="77">
        <v>1.0840000000000001</v>
      </c>
      <c r="CN51" s="77">
        <v>0.878</v>
      </c>
      <c r="CO51" s="77">
        <f t="shared" si="32"/>
        <v>0.98100000000000009</v>
      </c>
      <c r="CP51" s="77">
        <v>0</v>
      </c>
      <c r="CQ51" s="77">
        <v>0</v>
      </c>
      <c r="CR51" s="77">
        <f t="shared" si="33"/>
        <v>0</v>
      </c>
      <c r="CS51" s="77">
        <v>1.087</v>
      </c>
      <c r="CT51" s="77">
        <v>1.974</v>
      </c>
      <c r="CU51" s="77">
        <f t="shared" si="34"/>
        <v>1.5305</v>
      </c>
      <c r="CV51" s="201">
        <f t="shared" si="35"/>
        <v>3.1865500728711221E-2</v>
      </c>
      <c r="CW51" s="202">
        <f t="shared" si="36"/>
        <v>0.31944351870495891</v>
      </c>
      <c r="CX51" s="202">
        <f t="shared" si="37"/>
        <v>4.0635420226046541</v>
      </c>
      <c r="CY51" s="202">
        <f t="shared" si="38"/>
        <v>7.9233419886653403E-2</v>
      </c>
      <c r="CZ51" s="202">
        <f t="shared" si="39"/>
        <v>1.87856534928921</v>
      </c>
      <c r="DA51" s="202">
        <f t="shared" si="40"/>
        <v>2.1280787980640992</v>
      </c>
      <c r="DB51" s="202">
        <f t="shared" si="41"/>
        <v>0.8827517810891824</v>
      </c>
      <c r="DC51" s="203"/>
    </row>
    <row r="52" spans="1:107" ht="15.6" x14ac:dyDescent="0.3">
      <c r="A52" s="183" t="s">
        <v>600</v>
      </c>
      <c r="B52" s="183">
        <v>26.17062</v>
      </c>
      <c r="C52" s="183">
        <v>91.685239999999993</v>
      </c>
      <c r="D52" s="211" t="s">
        <v>601</v>
      </c>
      <c r="E52" s="183" t="s">
        <v>598</v>
      </c>
      <c r="F52" s="190">
        <v>600</v>
      </c>
      <c r="G52" s="183"/>
      <c r="H52" s="183"/>
      <c r="I52" s="183"/>
      <c r="J52" s="183"/>
      <c r="K52" s="183"/>
      <c r="L52" s="183"/>
      <c r="M52" s="190">
        <v>800</v>
      </c>
      <c r="N52" s="183"/>
      <c r="O52" s="183"/>
      <c r="P52" s="183"/>
      <c r="Q52" s="190">
        <v>1200</v>
      </c>
      <c r="R52" s="183"/>
      <c r="S52" s="183"/>
      <c r="T52" s="183"/>
      <c r="U52" s="190">
        <v>1300</v>
      </c>
      <c r="V52" s="183"/>
      <c r="W52" s="183"/>
      <c r="X52" s="183"/>
      <c r="Y52" s="183" t="s">
        <v>602</v>
      </c>
      <c r="Z52" s="206">
        <v>100</v>
      </c>
      <c r="AA52" s="183">
        <v>8.6999999999999993</v>
      </c>
      <c r="AB52" s="191">
        <v>22.8</v>
      </c>
      <c r="AC52" s="183">
        <v>0.1</v>
      </c>
      <c r="AD52" s="183">
        <v>342</v>
      </c>
      <c r="AE52" s="183">
        <v>-239</v>
      </c>
      <c r="AF52" s="192">
        <f t="shared" si="1"/>
        <v>-34</v>
      </c>
      <c r="AG52" s="193">
        <f t="shared" si="2"/>
        <v>-3.4000000000000002E-2</v>
      </c>
      <c r="AH52" s="183">
        <v>139</v>
      </c>
      <c r="AI52" s="183">
        <v>342</v>
      </c>
      <c r="AJ52" s="197">
        <v>0</v>
      </c>
      <c r="AK52" s="197">
        <v>0</v>
      </c>
      <c r="AL52" s="197">
        <f t="shared" si="3"/>
        <v>0</v>
      </c>
      <c r="AM52" s="197">
        <f t="shared" si="4"/>
        <v>0</v>
      </c>
      <c r="AN52" s="197">
        <v>3.3039999999999998</v>
      </c>
      <c r="AO52" s="197">
        <v>3.2829999999999999</v>
      </c>
      <c r="AP52" s="197">
        <f t="shared" si="5"/>
        <v>1.4849242404917433E-2</v>
      </c>
      <c r="AQ52" s="197">
        <f t="shared" si="6"/>
        <v>6.5869999999999997</v>
      </c>
      <c r="AR52" s="77">
        <f t="shared" si="7"/>
        <v>3.2934999999999999</v>
      </c>
      <c r="AS52" s="209">
        <v>5.0000000000000001E-3</v>
      </c>
      <c r="AT52" s="209">
        <v>6.0000000000000001E-3</v>
      </c>
      <c r="AU52" s="198">
        <f t="shared" si="8"/>
        <v>7.0710678118654762E-4</v>
      </c>
      <c r="AV52" s="198">
        <f t="shared" si="9"/>
        <v>5.4999999999999997E-3</v>
      </c>
      <c r="AW52" s="196">
        <v>26.893000000000001</v>
      </c>
      <c r="AX52" s="196">
        <v>25.443999999999999</v>
      </c>
      <c r="AY52" s="196">
        <f t="shared" si="10"/>
        <v>1.0245977259393084</v>
      </c>
      <c r="AZ52" s="197">
        <f t="shared" si="11"/>
        <v>26.168500000000002</v>
      </c>
      <c r="BA52" s="199">
        <f t="shared" si="12"/>
        <v>1.1382557633753807</v>
      </c>
      <c r="BB52" s="196">
        <v>0.33700000000000002</v>
      </c>
      <c r="BC52" s="196">
        <v>0.35599999999999998</v>
      </c>
      <c r="BD52" s="196">
        <f t="shared" si="13"/>
        <v>1.3435028842544376E-2</v>
      </c>
      <c r="BE52" s="196">
        <f t="shared" si="14"/>
        <v>0.69300000000000006</v>
      </c>
      <c r="BF52" s="196">
        <v>0</v>
      </c>
      <c r="BG52" s="196">
        <v>0</v>
      </c>
      <c r="BH52" s="196">
        <f t="shared" si="15"/>
        <v>0</v>
      </c>
      <c r="BI52" s="200">
        <f t="shared" si="16"/>
        <v>0</v>
      </c>
      <c r="BJ52" s="199">
        <f t="shared" si="17"/>
        <v>0</v>
      </c>
      <c r="BK52" s="197">
        <v>11</v>
      </c>
      <c r="BL52" s="197">
        <v>0</v>
      </c>
      <c r="BM52" s="197">
        <f t="shared" si="18"/>
        <v>7.7781745930520225</v>
      </c>
      <c r="BN52" s="197">
        <f t="shared" si="19"/>
        <v>5.5</v>
      </c>
      <c r="BO52" s="77">
        <f t="shared" si="20"/>
        <v>0.27446479365237786</v>
      </c>
      <c r="BP52" s="77">
        <f t="shared" si="21"/>
        <v>0.11956505000000001</v>
      </c>
      <c r="BQ52" s="197">
        <v>1.2</v>
      </c>
      <c r="BR52" s="197">
        <v>0</v>
      </c>
      <c r="BS52" s="197">
        <f t="shared" si="22"/>
        <v>0.84852813742385702</v>
      </c>
      <c r="BT52" s="197">
        <f t="shared" si="23"/>
        <v>0.6</v>
      </c>
      <c r="BU52" s="199">
        <f t="shared" si="24"/>
        <v>4.9362402303578773E-2</v>
      </c>
      <c r="BV52" s="199">
        <f t="shared" si="25"/>
        <v>1.304346E-2</v>
      </c>
      <c r="BW52" s="196">
        <v>273.99999999999994</v>
      </c>
      <c r="BX52" s="196">
        <f t="shared" si="26"/>
        <v>4.4905665324959667</v>
      </c>
      <c r="BY52" s="196">
        <f t="shared" si="0"/>
        <v>5.9565133999999986</v>
      </c>
      <c r="BZ52" s="75">
        <v>0.19</v>
      </c>
      <c r="CA52" s="75">
        <v>0.23300000000000001</v>
      </c>
      <c r="CB52" s="77">
        <v>0.61</v>
      </c>
      <c r="CC52" s="77">
        <v>0.61</v>
      </c>
      <c r="CD52" s="77">
        <f t="shared" si="27"/>
        <v>0.61</v>
      </c>
      <c r="CE52" s="77">
        <v>3.68</v>
      </c>
      <c r="CF52" s="77">
        <v>3.9409999999999998</v>
      </c>
      <c r="CG52" s="77">
        <f t="shared" si="28"/>
        <v>3.8105000000000002</v>
      </c>
      <c r="CH52" s="75">
        <f t="shared" si="29"/>
        <v>0.10748942172073342</v>
      </c>
      <c r="CI52" s="75">
        <f t="shared" si="30"/>
        <v>8.2836840550000013E-2</v>
      </c>
      <c r="CJ52" s="77">
        <v>0</v>
      </c>
      <c r="CK52" s="77">
        <v>0</v>
      </c>
      <c r="CL52" s="77">
        <f t="shared" si="31"/>
        <v>0</v>
      </c>
      <c r="CM52" s="77">
        <v>2.2389999999999999</v>
      </c>
      <c r="CN52" s="77">
        <v>2.19</v>
      </c>
      <c r="CO52" s="77">
        <f t="shared" si="32"/>
        <v>2.2145000000000001</v>
      </c>
      <c r="CP52" s="77">
        <v>0</v>
      </c>
      <c r="CQ52" s="77">
        <v>0</v>
      </c>
      <c r="CR52" s="77">
        <f t="shared" si="33"/>
        <v>0</v>
      </c>
      <c r="CS52" s="77">
        <v>2.7629999999999999</v>
      </c>
      <c r="CT52" s="77">
        <v>3.2989999999999999</v>
      </c>
      <c r="CU52" s="77">
        <f t="shared" si="34"/>
        <v>3.0309999999999997</v>
      </c>
      <c r="CV52" s="201">
        <f t="shared" si="35"/>
        <v>6.3106391838434306E-2</v>
      </c>
      <c r="CW52" s="202">
        <f t="shared" si="36"/>
        <v>0.32382719595595666</v>
      </c>
      <c r="CX52" s="202">
        <f t="shared" si="37"/>
        <v>4.5536729243344007</v>
      </c>
      <c r="CY52" s="202">
        <f t="shared" si="38"/>
        <v>7.2112770986151181E-2</v>
      </c>
      <c r="CZ52" s="202">
        <f t="shared" si="39"/>
        <v>1.1382557633753807</v>
      </c>
      <c r="DA52" s="202">
        <f t="shared" si="40"/>
        <v>1.4127205570277586</v>
      </c>
      <c r="DB52" s="202">
        <f t="shared" si="41"/>
        <v>0.80571897797691283</v>
      </c>
      <c r="DC52" s="203"/>
    </row>
    <row r="53" spans="1:107" ht="18" x14ac:dyDescent="0.3">
      <c r="A53" s="183" t="s">
        <v>603</v>
      </c>
      <c r="B53" s="183">
        <v>26.169076</v>
      </c>
      <c r="C53" s="183">
        <v>91.684081000000006</v>
      </c>
      <c r="D53" s="211" t="s">
        <v>604</v>
      </c>
      <c r="E53" s="183" t="s">
        <v>583</v>
      </c>
      <c r="F53" s="190">
        <v>4</v>
      </c>
      <c r="G53" s="183"/>
      <c r="H53" s="183"/>
      <c r="I53" s="183"/>
      <c r="J53" s="183"/>
      <c r="K53" s="183"/>
      <c r="L53" s="183"/>
      <c r="M53" s="190">
        <v>1</v>
      </c>
      <c r="N53" s="183"/>
      <c r="O53" s="183"/>
      <c r="P53" s="183"/>
      <c r="Q53" s="207">
        <v>4</v>
      </c>
      <c r="R53" s="183"/>
      <c r="S53" s="183"/>
      <c r="T53" s="183"/>
      <c r="U53" s="207">
        <v>5</v>
      </c>
      <c r="V53" s="183"/>
      <c r="W53" s="183"/>
      <c r="X53" s="183"/>
      <c r="Y53" s="183" t="s">
        <v>605</v>
      </c>
      <c r="Z53" s="206">
        <v>120</v>
      </c>
      <c r="AA53" s="183">
        <v>8.9</v>
      </c>
      <c r="AB53" s="216">
        <v>21.3</v>
      </c>
      <c r="AC53" s="183">
        <v>0.1</v>
      </c>
      <c r="AD53" s="183">
        <v>364</v>
      </c>
      <c r="AE53" s="183">
        <v>-263</v>
      </c>
      <c r="AF53" s="192">
        <f t="shared" si="1"/>
        <v>-58</v>
      </c>
      <c r="AG53" s="193">
        <f t="shared" si="2"/>
        <v>-5.8000000000000003E-2</v>
      </c>
      <c r="AH53" s="183">
        <v>109</v>
      </c>
      <c r="AI53" s="183">
        <v>364</v>
      </c>
      <c r="AJ53" s="197">
        <v>0</v>
      </c>
      <c r="AK53" s="197">
        <v>0</v>
      </c>
      <c r="AL53" s="197">
        <f t="shared" si="3"/>
        <v>0</v>
      </c>
      <c r="AM53" s="197">
        <f t="shared" si="4"/>
        <v>0</v>
      </c>
      <c r="AN53" s="197">
        <v>14.122</v>
      </c>
      <c r="AO53" s="197">
        <v>13.77</v>
      </c>
      <c r="AP53" s="197">
        <f t="shared" si="5"/>
        <v>0.24890158697766496</v>
      </c>
      <c r="AQ53" s="197">
        <f t="shared" si="6"/>
        <v>27.891999999999999</v>
      </c>
      <c r="AR53" s="208">
        <f t="shared" si="7"/>
        <v>13.946</v>
      </c>
      <c r="AS53" s="209">
        <v>1.9E-2</v>
      </c>
      <c r="AT53" s="209">
        <v>1.7999999999999999E-2</v>
      </c>
      <c r="AU53" s="198">
        <f t="shared" si="8"/>
        <v>7.0710678118654816E-4</v>
      </c>
      <c r="AV53" s="198">
        <f t="shared" si="9"/>
        <v>1.8499999999999999E-2</v>
      </c>
      <c r="AW53" s="196">
        <v>32.042000000000002</v>
      </c>
      <c r="AX53" s="196">
        <v>33.515999999999998</v>
      </c>
      <c r="AY53" s="196">
        <f t="shared" si="10"/>
        <v>1.0422753954689687</v>
      </c>
      <c r="AZ53" s="197">
        <f t="shared" si="11"/>
        <v>32.778999999999996</v>
      </c>
      <c r="BA53" s="199">
        <f t="shared" si="12"/>
        <v>1.4257938234014789</v>
      </c>
      <c r="BB53" s="196">
        <v>2.8000000000000001E-2</v>
      </c>
      <c r="BC53" s="196">
        <v>1.4999999999999999E-2</v>
      </c>
      <c r="BD53" s="196">
        <f t="shared" si="13"/>
        <v>9.1923881554251321E-3</v>
      </c>
      <c r="BE53" s="196">
        <f t="shared" si="14"/>
        <v>4.2999999999999997E-2</v>
      </c>
      <c r="BF53" s="196">
        <v>0</v>
      </c>
      <c r="BG53" s="196">
        <v>0</v>
      </c>
      <c r="BH53" s="196">
        <f t="shared" si="15"/>
        <v>0</v>
      </c>
      <c r="BI53" s="200">
        <f t="shared" si="16"/>
        <v>0</v>
      </c>
      <c r="BJ53" s="199">
        <f t="shared" si="17"/>
        <v>0</v>
      </c>
      <c r="BK53" s="197">
        <v>11</v>
      </c>
      <c r="BL53" s="197">
        <v>0</v>
      </c>
      <c r="BM53" s="197">
        <f t="shared" si="18"/>
        <v>7.7781745930520225</v>
      </c>
      <c r="BN53" s="197">
        <f t="shared" si="19"/>
        <v>5.5</v>
      </c>
      <c r="BO53" s="77">
        <f t="shared" si="20"/>
        <v>0.27446479365237786</v>
      </c>
      <c r="BP53" s="77">
        <f t="shared" si="21"/>
        <v>0.11956505000000001</v>
      </c>
      <c r="BQ53" s="197">
        <v>1.1000000000000001</v>
      </c>
      <c r="BR53" s="197">
        <v>0</v>
      </c>
      <c r="BS53" s="197">
        <f t="shared" si="22"/>
        <v>0.7778174593052023</v>
      </c>
      <c r="BT53" s="197">
        <f t="shared" si="23"/>
        <v>0.55000000000000004</v>
      </c>
      <c r="BU53" s="199">
        <f t="shared" si="24"/>
        <v>4.5248868778280549E-2</v>
      </c>
      <c r="BV53" s="199">
        <f t="shared" si="25"/>
        <v>1.1956505000000001E-2</v>
      </c>
      <c r="BW53" s="196">
        <v>172</v>
      </c>
      <c r="BX53" s="196">
        <f t="shared" si="26"/>
        <v>2.8188957795230163</v>
      </c>
      <c r="BY53" s="196">
        <f t="shared" si="0"/>
        <v>3.7391252000000001</v>
      </c>
      <c r="BZ53" s="75">
        <v>0.13</v>
      </c>
      <c r="CA53" s="75">
        <v>0.27</v>
      </c>
      <c r="CB53" s="77">
        <v>0.33200000000000002</v>
      </c>
      <c r="CC53" s="77">
        <v>0.318</v>
      </c>
      <c r="CD53" s="77">
        <f t="shared" si="27"/>
        <v>0.32500000000000001</v>
      </c>
      <c r="CE53" s="77">
        <v>93.081999999999994</v>
      </c>
      <c r="CF53" s="77">
        <v>89.42</v>
      </c>
      <c r="CG53" s="77">
        <f t="shared" si="28"/>
        <v>91.251000000000005</v>
      </c>
      <c r="CH53" s="75">
        <f t="shared" si="29"/>
        <v>2.5740761636107194</v>
      </c>
      <c r="CI53" s="75">
        <f t="shared" si="30"/>
        <v>1.9837146141000002</v>
      </c>
      <c r="CJ53" s="77">
        <v>0.124</v>
      </c>
      <c r="CK53" s="77">
        <v>0.14230000000000001</v>
      </c>
      <c r="CL53" s="77">
        <f t="shared" si="31"/>
        <v>0.13314999999999999</v>
      </c>
      <c r="CM53" s="77">
        <v>2.4620000000000002</v>
      </c>
      <c r="CN53" s="77">
        <v>2.0129999999999999</v>
      </c>
      <c r="CO53" s="77">
        <f t="shared" si="32"/>
        <v>2.2374999999999998</v>
      </c>
      <c r="CP53" s="77">
        <v>0</v>
      </c>
      <c r="CQ53" s="77">
        <v>5.3999999999999999E-2</v>
      </c>
      <c r="CR53" s="77">
        <f t="shared" si="33"/>
        <v>2.7E-2</v>
      </c>
      <c r="CS53" s="77">
        <v>52.817999999999998</v>
      </c>
      <c r="CT53" s="77">
        <v>51.32</v>
      </c>
      <c r="CU53" s="77">
        <f t="shared" si="34"/>
        <v>52.069000000000003</v>
      </c>
      <c r="CV53" s="201">
        <f t="shared" si="35"/>
        <v>1.0840932750364356</v>
      </c>
      <c r="CW53" s="202">
        <f t="shared" si="36"/>
        <v>0.31971366243065841</v>
      </c>
      <c r="CX53" s="202">
        <f t="shared" si="37"/>
        <v>3.9029890545594519</v>
      </c>
      <c r="CY53" s="202">
        <f t="shared" si="38"/>
        <v>0.11341804998720349</v>
      </c>
      <c r="CZ53" s="202">
        <f t="shared" si="39"/>
        <v>1.4257938234014789</v>
      </c>
      <c r="DA53" s="202">
        <f t="shared" si="40"/>
        <v>1.7002586170538567</v>
      </c>
      <c r="DB53" s="202">
        <f t="shared" si="41"/>
        <v>0.83857467864038238</v>
      </c>
      <c r="DC53" s="203"/>
    </row>
  </sheetData>
  <mergeCells count="32">
    <mergeCell ref="CM3:CN3"/>
    <mergeCell ref="CP3:CQ3"/>
    <mergeCell ref="CS3:CT3"/>
    <mergeCell ref="A1:K1"/>
    <mergeCell ref="CS2:CU2"/>
    <mergeCell ref="AS3:AT3"/>
    <mergeCell ref="AW3:AX3"/>
    <mergeCell ref="BB3:BC3"/>
    <mergeCell ref="BF3:BG3"/>
    <mergeCell ref="BK3:BL3"/>
    <mergeCell ref="BQ3:BR3"/>
    <mergeCell ref="CB3:CC3"/>
    <mergeCell ref="CE3:CF3"/>
    <mergeCell ref="CJ3:CK3"/>
    <mergeCell ref="BW2:BY2"/>
    <mergeCell ref="CB2:CD2"/>
    <mergeCell ref="CE2:CI2"/>
    <mergeCell ref="CJ2:CK2"/>
    <mergeCell ref="CM2:CO2"/>
    <mergeCell ref="CP2:CR2"/>
    <mergeCell ref="AS2:AV2"/>
    <mergeCell ref="AW2:BA2"/>
    <mergeCell ref="BB2:BE2"/>
    <mergeCell ref="BF2:BJ2"/>
    <mergeCell ref="BK2:BP2"/>
    <mergeCell ref="BQ2:BV2"/>
    <mergeCell ref="F2:L2"/>
    <mergeCell ref="M2:P2"/>
    <mergeCell ref="Q2:T2"/>
    <mergeCell ref="U2:X2"/>
    <mergeCell ref="AJ2:AK2"/>
    <mergeCell ref="AN2:A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EBAA-9C04-4920-A898-A64FCE59C722}">
  <dimension ref="A1:AD56"/>
  <sheetViews>
    <sheetView workbookViewId="0">
      <selection activeCell="G9" sqref="G9"/>
    </sheetView>
  </sheetViews>
  <sheetFormatPr defaultRowHeight="14.4" x14ac:dyDescent="0.3"/>
  <sheetData>
    <row r="1" spans="1:30" ht="28.8" x14ac:dyDescent="0.55000000000000004">
      <c r="A1" s="245" t="s">
        <v>1116</v>
      </c>
      <c r="B1" s="245"/>
      <c r="C1" s="245"/>
      <c r="D1" s="245"/>
      <c r="E1" s="245"/>
      <c r="F1" s="245"/>
      <c r="G1" s="245"/>
      <c r="H1" s="245"/>
    </row>
    <row r="2" spans="1:30" x14ac:dyDescent="0.3">
      <c r="A2" s="217"/>
      <c r="B2" s="218" t="s">
        <v>496</v>
      </c>
      <c r="C2" s="218" t="s">
        <v>606</v>
      </c>
      <c r="D2" s="218" t="s">
        <v>607</v>
      </c>
      <c r="E2" s="218" t="s">
        <v>608</v>
      </c>
      <c r="F2" s="218" t="s">
        <v>609</v>
      </c>
      <c r="G2" s="218" t="s">
        <v>610</v>
      </c>
      <c r="H2" s="218" t="s">
        <v>611</v>
      </c>
      <c r="I2" s="218" t="s">
        <v>612</v>
      </c>
      <c r="J2" s="218" t="s">
        <v>7</v>
      </c>
      <c r="K2" s="219" t="s">
        <v>613</v>
      </c>
      <c r="L2" s="218" t="s">
        <v>614</v>
      </c>
      <c r="M2" s="218" t="s">
        <v>615</v>
      </c>
      <c r="N2" s="218" t="s">
        <v>616</v>
      </c>
      <c r="O2" s="218" t="s">
        <v>617</v>
      </c>
      <c r="P2" s="218" t="s">
        <v>618</v>
      </c>
      <c r="Q2" s="218" t="s">
        <v>476</v>
      </c>
      <c r="R2" s="218" t="s">
        <v>619</v>
      </c>
      <c r="S2" s="218" t="s">
        <v>620</v>
      </c>
      <c r="T2" s="218" t="s">
        <v>621</v>
      </c>
      <c r="U2" s="218" t="s">
        <v>622</v>
      </c>
      <c r="V2" s="218" t="s">
        <v>616</v>
      </c>
      <c r="W2" s="218" t="s">
        <v>408</v>
      </c>
      <c r="X2" s="218" t="s">
        <v>623</v>
      </c>
      <c r="Y2" s="218" t="s">
        <v>4</v>
      </c>
      <c r="Z2" s="218" t="s">
        <v>407</v>
      </c>
      <c r="AA2" s="218" t="s">
        <v>5</v>
      </c>
      <c r="AB2" s="218" t="s">
        <v>624</v>
      </c>
      <c r="AC2" s="218" t="s">
        <v>15</v>
      </c>
      <c r="AD2" s="218" t="s">
        <v>625</v>
      </c>
    </row>
    <row r="3" spans="1:30" ht="28.8" x14ac:dyDescent="0.3">
      <c r="A3" s="217">
        <v>1</v>
      </c>
      <c r="B3" s="220" t="s">
        <v>626</v>
      </c>
      <c r="C3" s="220" t="s">
        <v>627</v>
      </c>
      <c r="D3" s="220" t="s">
        <v>628</v>
      </c>
      <c r="E3" s="220">
        <v>70</v>
      </c>
      <c r="F3" s="221">
        <f t="shared" ref="F3:F38" si="0">E3/3</f>
        <v>23.333333333333332</v>
      </c>
      <c r="G3" s="220">
        <v>2022</v>
      </c>
      <c r="H3" s="220">
        <v>9</v>
      </c>
      <c r="I3" s="220" t="s">
        <v>629</v>
      </c>
      <c r="J3" s="220" t="s">
        <v>630</v>
      </c>
      <c r="K3" s="222" t="s">
        <v>631</v>
      </c>
      <c r="L3" s="220">
        <v>7.28</v>
      </c>
      <c r="M3" s="220">
        <v>13</v>
      </c>
      <c r="N3" s="220">
        <v>140</v>
      </c>
      <c r="O3" s="220">
        <v>2109</v>
      </c>
      <c r="P3" s="220">
        <v>5.0000000000000001E-4</v>
      </c>
      <c r="Q3" s="220">
        <v>1055</v>
      </c>
      <c r="R3" s="220">
        <v>1.07</v>
      </c>
      <c r="S3" s="220">
        <v>29.95</v>
      </c>
      <c r="T3" s="220">
        <v>560</v>
      </c>
      <c r="U3" s="220">
        <v>0.23</v>
      </c>
      <c r="V3" s="220">
        <v>140</v>
      </c>
      <c r="W3" s="220">
        <v>8.9</v>
      </c>
      <c r="X3" s="220">
        <v>62.2</v>
      </c>
      <c r="Y3" s="220">
        <v>1.1100000000000001</v>
      </c>
      <c r="Z3" s="220">
        <v>30.8</v>
      </c>
      <c r="AA3" s="220">
        <v>24.3</v>
      </c>
      <c r="AB3" s="220">
        <v>260.39999999999998</v>
      </c>
      <c r="AC3" s="220">
        <v>2.0000000000000001E-4</v>
      </c>
      <c r="AD3" s="220">
        <v>5.4999999999999997E-3</v>
      </c>
    </row>
    <row r="4" spans="1:30" ht="28.8" x14ac:dyDescent="0.3">
      <c r="A4" s="217">
        <v>2</v>
      </c>
      <c r="B4" s="220" t="s">
        <v>632</v>
      </c>
      <c r="C4" s="220" t="s">
        <v>627</v>
      </c>
      <c r="D4" s="220" t="s">
        <v>633</v>
      </c>
      <c r="E4" s="220">
        <v>80</v>
      </c>
      <c r="F4" s="221">
        <f t="shared" si="0"/>
        <v>26.666666666666668</v>
      </c>
      <c r="G4" s="220">
        <v>2018</v>
      </c>
      <c r="H4" s="220">
        <v>3</v>
      </c>
      <c r="I4" s="220" t="s">
        <v>634</v>
      </c>
      <c r="J4" s="220" t="s">
        <v>635</v>
      </c>
      <c r="K4" s="222" t="s">
        <v>631</v>
      </c>
      <c r="L4" s="220">
        <v>6.95</v>
      </c>
      <c r="M4" s="220">
        <v>19.7</v>
      </c>
      <c r="N4" s="220">
        <v>992</v>
      </c>
      <c r="O4" s="220">
        <v>1374</v>
      </c>
      <c r="P4" s="220">
        <v>6.9999999999999999E-4</v>
      </c>
      <c r="Q4" s="220">
        <v>687</v>
      </c>
      <c r="R4" s="220">
        <v>0.68</v>
      </c>
      <c r="S4" s="220">
        <v>29.76</v>
      </c>
      <c r="T4" s="220">
        <v>374</v>
      </c>
      <c r="U4" s="220">
        <v>0.11</v>
      </c>
      <c r="V4" s="220">
        <v>992</v>
      </c>
      <c r="W4" s="220">
        <v>5.6</v>
      </c>
      <c r="X4" s="220">
        <v>60.1</v>
      </c>
      <c r="Y4" s="220">
        <v>1.1100000000000001</v>
      </c>
      <c r="Z4" s="220">
        <v>19.899999999999999</v>
      </c>
      <c r="AA4" s="220">
        <v>3.6</v>
      </c>
      <c r="AB4" s="220">
        <v>158.69999999999999</v>
      </c>
      <c r="AC4" s="220">
        <v>4.0000000000000002E-4</v>
      </c>
      <c r="AD4" s="220">
        <v>1.38E-2</v>
      </c>
    </row>
    <row r="5" spans="1:30" ht="28.8" x14ac:dyDescent="0.3">
      <c r="A5" s="217">
        <v>3</v>
      </c>
      <c r="B5" s="220" t="s">
        <v>636</v>
      </c>
      <c r="C5" s="220" t="s">
        <v>627</v>
      </c>
      <c r="D5" s="220" t="s">
        <v>637</v>
      </c>
      <c r="E5" s="220">
        <v>45</v>
      </c>
      <c r="F5" s="221">
        <f t="shared" si="0"/>
        <v>15</v>
      </c>
      <c r="G5" s="220">
        <v>2010</v>
      </c>
      <c r="H5" s="220">
        <v>4</v>
      </c>
      <c r="I5" s="220" t="s">
        <v>638</v>
      </c>
      <c r="J5" s="220" t="s">
        <v>639</v>
      </c>
      <c r="K5" s="222" t="s">
        <v>631</v>
      </c>
      <c r="L5" s="220">
        <v>7.36</v>
      </c>
      <c r="M5" s="220">
        <v>16.3</v>
      </c>
      <c r="N5" s="220">
        <v>592</v>
      </c>
      <c r="O5" s="220">
        <v>898</v>
      </c>
      <c r="P5" s="220">
        <v>1.1000000000000001E-3</v>
      </c>
      <c r="Q5" s="220">
        <v>449</v>
      </c>
      <c r="R5" s="220">
        <v>0.64</v>
      </c>
      <c r="S5" s="220">
        <v>30.18</v>
      </c>
      <c r="T5" s="220">
        <v>250</v>
      </c>
      <c r="U5" s="220">
        <v>0</v>
      </c>
      <c r="V5" s="220">
        <v>592</v>
      </c>
      <c r="W5" s="220">
        <v>7.4</v>
      </c>
      <c r="X5" s="220">
        <v>61.1</v>
      </c>
      <c r="Y5" s="220">
        <v>3.02</v>
      </c>
      <c r="Z5" s="220">
        <v>48.1</v>
      </c>
      <c r="AA5" s="220">
        <v>3.5</v>
      </c>
      <c r="AB5" s="220">
        <v>338.87</v>
      </c>
      <c r="AC5" s="220">
        <v>4.0000000000000002E-4</v>
      </c>
      <c r="AD5" s="220">
        <v>1.0699999999999999E-2</v>
      </c>
    </row>
    <row r="6" spans="1:30" ht="28.8" x14ac:dyDescent="0.3">
      <c r="A6" s="217">
        <v>4</v>
      </c>
      <c r="B6" s="220" t="s">
        <v>640</v>
      </c>
      <c r="C6" s="220" t="s">
        <v>627</v>
      </c>
      <c r="D6" s="220" t="s">
        <v>641</v>
      </c>
      <c r="E6" s="220">
        <v>65</v>
      </c>
      <c r="F6" s="221">
        <f t="shared" si="0"/>
        <v>21.666666666666668</v>
      </c>
      <c r="G6" s="220">
        <v>2016</v>
      </c>
      <c r="H6" s="220">
        <v>5</v>
      </c>
      <c r="I6" s="220" t="s">
        <v>642</v>
      </c>
      <c r="J6" s="220" t="s">
        <v>643</v>
      </c>
      <c r="K6" s="222" t="s">
        <v>631</v>
      </c>
      <c r="L6" s="220">
        <v>6.84</v>
      </c>
      <c r="M6" s="220">
        <v>23.2</v>
      </c>
      <c r="N6" s="220">
        <v>1368</v>
      </c>
      <c r="O6" s="220">
        <v>977</v>
      </c>
      <c r="P6" s="220">
        <v>1E-3</v>
      </c>
      <c r="Q6" s="220">
        <v>489</v>
      </c>
      <c r="R6" s="220">
        <v>0.48</v>
      </c>
      <c r="S6" s="220">
        <v>30.1</v>
      </c>
      <c r="T6" s="220">
        <v>1523</v>
      </c>
      <c r="U6" s="220">
        <v>0.63</v>
      </c>
      <c r="V6" s="220">
        <v>1368</v>
      </c>
      <c r="W6" s="220">
        <v>16.8</v>
      </c>
      <c r="X6" s="220">
        <v>63.4</v>
      </c>
      <c r="Y6" s="220">
        <v>13.5</v>
      </c>
      <c r="Z6" s="220">
        <v>87.3</v>
      </c>
      <c r="AA6" s="220">
        <v>12.6</v>
      </c>
      <c r="AB6" s="220">
        <v>109.2</v>
      </c>
      <c r="AC6" s="220">
        <v>2.0000000000000001E-4</v>
      </c>
      <c r="AD6" s="220">
        <v>7.1000000000000004E-3</v>
      </c>
    </row>
    <row r="7" spans="1:30" x14ac:dyDescent="0.3">
      <c r="A7" s="217">
        <v>5</v>
      </c>
      <c r="B7" s="220" t="s">
        <v>644</v>
      </c>
      <c r="C7" s="220" t="s">
        <v>645</v>
      </c>
      <c r="D7" s="220" t="s">
        <v>646</v>
      </c>
      <c r="E7" s="220">
        <v>150</v>
      </c>
      <c r="F7" s="221">
        <f t="shared" si="0"/>
        <v>50</v>
      </c>
      <c r="G7" s="220">
        <v>2018</v>
      </c>
      <c r="H7" s="220">
        <v>4</v>
      </c>
      <c r="I7" s="220" t="s">
        <v>647</v>
      </c>
      <c r="J7" s="220" t="s">
        <v>648</v>
      </c>
      <c r="K7" s="222" t="s">
        <v>649</v>
      </c>
      <c r="L7" s="220">
        <v>7.33</v>
      </c>
      <c r="M7" s="220">
        <v>19.899999999999999</v>
      </c>
      <c r="N7" s="220">
        <v>1080</v>
      </c>
      <c r="O7" s="220">
        <v>804</v>
      </c>
      <c r="P7" s="220">
        <v>1.1999999999999999E-3</v>
      </c>
      <c r="Q7" s="220">
        <v>402</v>
      </c>
      <c r="R7" s="220">
        <v>0.39</v>
      </c>
      <c r="S7" s="220">
        <v>29.95</v>
      </c>
      <c r="T7" s="220">
        <v>855</v>
      </c>
      <c r="U7" s="220">
        <v>0.88</v>
      </c>
      <c r="V7" s="220">
        <v>1080</v>
      </c>
      <c r="W7" s="220">
        <v>20.100000000000001</v>
      </c>
      <c r="X7" s="220">
        <v>64</v>
      </c>
      <c r="Y7" s="220">
        <v>11.98</v>
      </c>
      <c r="Z7" s="220">
        <v>23.5</v>
      </c>
      <c r="AA7" s="220">
        <v>0.75</v>
      </c>
      <c r="AB7" s="220">
        <v>369.7</v>
      </c>
      <c r="AC7" s="220">
        <v>2.9999999999999997E-4</v>
      </c>
      <c r="AD7" s="220">
        <v>1.5100000000000001E-2</v>
      </c>
    </row>
    <row r="8" spans="1:30" ht="28.8" x14ac:dyDescent="0.3">
      <c r="A8" s="217">
        <v>6</v>
      </c>
      <c r="B8" s="220" t="s">
        <v>650</v>
      </c>
      <c r="C8" s="220" t="s">
        <v>651</v>
      </c>
      <c r="D8" s="220" t="s">
        <v>652</v>
      </c>
      <c r="E8" s="220">
        <v>100</v>
      </c>
      <c r="F8" s="221">
        <f t="shared" si="0"/>
        <v>33.333333333333336</v>
      </c>
      <c r="G8" s="220">
        <v>2012</v>
      </c>
      <c r="H8" s="220">
        <v>5</v>
      </c>
      <c r="I8" s="220" t="s">
        <v>653</v>
      </c>
      <c r="J8" s="220" t="s">
        <v>654</v>
      </c>
      <c r="K8" s="222" t="s">
        <v>631</v>
      </c>
      <c r="L8" s="220">
        <v>7.37</v>
      </c>
      <c r="M8" s="220">
        <v>17</v>
      </c>
      <c r="N8" s="220">
        <v>920</v>
      </c>
      <c r="O8" s="220">
        <v>986</v>
      </c>
      <c r="P8" s="220">
        <v>1E-3</v>
      </c>
      <c r="Q8" s="220">
        <v>493</v>
      </c>
      <c r="R8" s="220">
        <v>0.48</v>
      </c>
      <c r="S8" s="220">
        <v>29.78</v>
      </c>
      <c r="T8" s="220">
        <v>649</v>
      </c>
      <c r="U8" s="220">
        <v>0.39</v>
      </c>
      <c r="V8" s="220">
        <v>920</v>
      </c>
      <c r="W8" s="220">
        <v>9.3000000000000007</v>
      </c>
      <c r="X8" s="220">
        <v>61.8</v>
      </c>
      <c r="Y8" s="220">
        <v>3.45</v>
      </c>
      <c r="Z8" s="220">
        <v>64.2</v>
      </c>
      <c r="AA8" s="220">
        <v>50.23</v>
      </c>
      <c r="AB8" s="220">
        <v>412</v>
      </c>
      <c r="AC8" s="220">
        <v>2.0000000000000001E-4</v>
      </c>
      <c r="AD8" s="220">
        <v>9.7999999999999997E-3</v>
      </c>
    </row>
    <row r="9" spans="1:30" ht="28.8" x14ac:dyDescent="0.3">
      <c r="A9" s="217">
        <v>7</v>
      </c>
      <c r="B9" s="220" t="s">
        <v>655</v>
      </c>
      <c r="C9" s="220" t="s">
        <v>651</v>
      </c>
      <c r="D9" s="220" t="s">
        <v>656</v>
      </c>
      <c r="E9" s="220">
        <v>100</v>
      </c>
      <c r="F9" s="221">
        <f t="shared" si="0"/>
        <v>33.333333333333336</v>
      </c>
      <c r="G9" s="220">
        <v>2021</v>
      </c>
      <c r="H9" s="220">
        <v>5</v>
      </c>
      <c r="I9" s="220" t="s">
        <v>657</v>
      </c>
      <c r="J9" s="220" t="s">
        <v>658</v>
      </c>
      <c r="K9" s="222" t="s">
        <v>631</v>
      </c>
      <c r="L9" s="220">
        <v>7.43</v>
      </c>
      <c r="M9" s="220">
        <v>18.5</v>
      </c>
      <c r="N9" s="220">
        <v>1380</v>
      </c>
      <c r="O9" s="220">
        <v>1029</v>
      </c>
      <c r="P9" s="220">
        <v>1E-3</v>
      </c>
      <c r="Q9" s="220">
        <v>515</v>
      </c>
      <c r="R9" s="220">
        <v>0.5</v>
      </c>
      <c r="S9" s="220">
        <v>29.88</v>
      </c>
      <c r="T9" s="220">
        <v>814</v>
      </c>
      <c r="U9" s="220">
        <v>0.56999999999999995</v>
      </c>
      <c r="V9" s="220">
        <v>1380</v>
      </c>
      <c r="W9" s="220">
        <v>22.3</v>
      </c>
      <c r="X9" s="220">
        <v>58.2</v>
      </c>
      <c r="Y9" s="220">
        <v>6.7</v>
      </c>
      <c r="Z9" s="220">
        <v>95.3</v>
      </c>
      <c r="AA9" s="220">
        <v>0.22</v>
      </c>
      <c r="AB9" s="220">
        <v>151.6</v>
      </c>
      <c r="AC9" s="220">
        <v>2.9999999999999997E-4</v>
      </c>
      <c r="AD9" s="220">
        <v>2.3999999999999998E-3</v>
      </c>
    </row>
    <row r="10" spans="1:30" ht="28.8" x14ac:dyDescent="0.3">
      <c r="A10" s="217">
        <v>8</v>
      </c>
      <c r="B10" s="220" t="s">
        <v>659</v>
      </c>
      <c r="C10" s="220" t="s">
        <v>651</v>
      </c>
      <c r="D10" s="220" t="s">
        <v>660</v>
      </c>
      <c r="E10" s="220">
        <v>150</v>
      </c>
      <c r="F10" s="221">
        <f t="shared" si="0"/>
        <v>50</v>
      </c>
      <c r="G10" s="220">
        <v>2012</v>
      </c>
      <c r="H10" s="220"/>
      <c r="I10" s="220" t="s">
        <v>661</v>
      </c>
      <c r="J10" s="220" t="s">
        <v>662</v>
      </c>
      <c r="K10" s="222" t="s">
        <v>631</v>
      </c>
      <c r="L10" s="220">
        <v>7.38</v>
      </c>
      <c r="M10" s="220">
        <v>17.3</v>
      </c>
      <c r="N10" s="220">
        <v>1300</v>
      </c>
      <c r="O10" s="220">
        <v>480</v>
      </c>
      <c r="P10" s="220">
        <v>2.0999999999999999E-3</v>
      </c>
      <c r="Q10" s="220">
        <v>240</v>
      </c>
      <c r="R10" s="220">
        <v>0.23</v>
      </c>
      <c r="S10" s="220">
        <v>29.6</v>
      </c>
      <c r="T10" s="220">
        <v>432</v>
      </c>
      <c r="U10" s="220">
        <v>0.42</v>
      </c>
      <c r="V10" s="220">
        <v>1300</v>
      </c>
      <c r="W10" s="220">
        <v>24.8</v>
      </c>
      <c r="X10" s="220">
        <v>57.34</v>
      </c>
      <c r="Y10" s="220">
        <v>0.77</v>
      </c>
      <c r="Z10" s="220">
        <v>85.4</v>
      </c>
      <c r="AA10" s="220">
        <v>0.16</v>
      </c>
      <c r="AB10" s="220">
        <v>765.2</v>
      </c>
      <c r="AC10" s="220">
        <v>1E-4</v>
      </c>
      <c r="AD10" s="220">
        <v>3.8999999999999998E-3</v>
      </c>
    </row>
    <row r="11" spans="1:30" ht="28.8" x14ac:dyDescent="0.3">
      <c r="A11" s="217">
        <v>9</v>
      </c>
      <c r="B11" s="220" t="s">
        <v>663</v>
      </c>
      <c r="C11" s="220" t="s">
        <v>651</v>
      </c>
      <c r="D11" s="220" t="s">
        <v>664</v>
      </c>
      <c r="E11" s="220">
        <v>60</v>
      </c>
      <c r="F11" s="221">
        <f t="shared" si="0"/>
        <v>20</v>
      </c>
      <c r="G11" s="220">
        <v>2023</v>
      </c>
      <c r="H11" s="220">
        <v>6</v>
      </c>
      <c r="I11" s="220" t="s">
        <v>665</v>
      </c>
      <c r="J11" s="220" t="s">
        <v>666</v>
      </c>
      <c r="K11" s="222" t="s">
        <v>631</v>
      </c>
      <c r="L11" s="220">
        <v>6.89</v>
      </c>
      <c r="M11" s="220">
        <v>44.5</v>
      </c>
      <c r="N11" s="220">
        <v>660</v>
      </c>
      <c r="O11" s="220">
        <v>931</v>
      </c>
      <c r="P11" s="220">
        <v>1.1000000000000001E-3</v>
      </c>
      <c r="Q11" s="220">
        <v>466</v>
      </c>
      <c r="R11" s="220">
        <v>0.45</v>
      </c>
      <c r="S11" s="220">
        <v>29.9</v>
      </c>
      <c r="T11" s="220">
        <v>386</v>
      </c>
      <c r="U11" s="220">
        <v>0.21</v>
      </c>
      <c r="V11" s="220">
        <v>660</v>
      </c>
      <c r="W11" s="220">
        <v>27.8</v>
      </c>
      <c r="X11" s="220">
        <v>53.6</v>
      </c>
      <c r="Y11" s="220">
        <v>0.77</v>
      </c>
      <c r="Z11" s="220">
        <v>78.8</v>
      </c>
      <c r="AA11" s="220">
        <v>1.66</v>
      </c>
      <c r="AB11" s="220">
        <v>344.6</v>
      </c>
      <c r="AC11" s="220">
        <v>2.0000000000000001E-4</v>
      </c>
      <c r="AD11" s="220">
        <v>3.3E-3</v>
      </c>
    </row>
    <row r="12" spans="1:30" ht="43.2" x14ac:dyDescent="0.3">
      <c r="A12" s="217">
        <v>10</v>
      </c>
      <c r="B12" s="220" t="s">
        <v>667</v>
      </c>
      <c r="C12" s="220" t="s">
        <v>668</v>
      </c>
      <c r="D12" s="220" t="s">
        <v>669</v>
      </c>
      <c r="E12" s="220">
        <v>100</v>
      </c>
      <c r="F12" s="221">
        <f t="shared" si="0"/>
        <v>33.333333333333336</v>
      </c>
      <c r="G12" s="220">
        <v>2010</v>
      </c>
      <c r="H12" s="220">
        <v>5</v>
      </c>
      <c r="I12" s="220" t="s">
        <v>670</v>
      </c>
      <c r="J12" s="220" t="s">
        <v>671</v>
      </c>
      <c r="K12" s="222" t="s">
        <v>672</v>
      </c>
      <c r="L12" s="220">
        <v>6.91</v>
      </c>
      <c r="M12" s="220">
        <v>50</v>
      </c>
      <c r="N12" s="220">
        <v>920</v>
      </c>
      <c r="O12" s="220">
        <v>917</v>
      </c>
      <c r="P12" s="220">
        <v>1.1000000000000001E-3</v>
      </c>
      <c r="Q12" s="220">
        <v>457</v>
      </c>
      <c r="R12" s="220">
        <v>0.45</v>
      </c>
      <c r="S12" s="220">
        <v>30</v>
      </c>
      <c r="T12" s="220">
        <v>1460</v>
      </c>
      <c r="U12" s="220">
        <v>0.66</v>
      </c>
      <c r="V12" s="220">
        <v>920</v>
      </c>
      <c r="W12" s="220">
        <v>26.9</v>
      </c>
      <c r="X12" s="220">
        <v>53.23</v>
      </c>
      <c r="Y12" s="220">
        <v>7.36</v>
      </c>
      <c r="Z12" s="220">
        <v>61.56</v>
      </c>
      <c r="AA12" s="220">
        <v>18.5</v>
      </c>
      <c r="AB12" s="220">
        <v>215.8</v>
      </c>
      <c r="AC12" s="220">
        <v>4.0000000000000002E-4</v>
      </c>
      <c r="AD12" s="220">
        <v>1.6999999999999999E-3</v>
      </c>
    </row>
    <row r="13" spans="1:30" ht="28.8" x14ac:dyDescent="0.3">
      <c r="A13" s="217">
        <v>11</v>
      </c>
      <c r="B13" s="220" t="s">
        <v>673</v>
      </c>
      <c r="C13" s="220" t="s">
        <v>651</v>
      </c>
      <c r="D13" s="220" t="s">
        <v>674</v>
      </c>
      <c r="E13" s="220">
        <v>275</v>
      </c>
      <c r="F13" s="221">
        <f t="shared" si="0"/>
        <v>91.666666666666671</v>
      </c>
      <c r="G13" s="220">
        <v>2018</v>
      </c>
      <c r="H13" s="220">
        <v>10</v>
      </c>
      <c r="I13" s="220" t="s">
        <v>675</v>
      </c>
      <c r="J13" s="220" t="s">
        <v>676</v>
      </c>
      <c r="K13" s="222" t="s">
        <v>631</v>
      </c>
      <c r="L13" s="220">
        <v>7.2</v>
      </c>
      <c r="M13" s="220">
        <v>44.1</v>
      </c>
      <c r="N13" s="220">
        <v>1008</v>
      </c>
      <c r="O13" s="220">
        <v>1028</v>
      </c>
      <c r="P13" s="220">
        <v>1E-3</v>
      </c>
      <c r="Q13" s="220">
        <v>514</v>
      </c>
      <c r="R13" s="220">
        <v>0.56000000000000005</v>
      </c>
      <c r="S13" s="220">
        <v>29.78</v>
      </c>
      <c r="T13" s="220">
        <v>496</v>
      </c>
      <c r="U13" s="220">
        <v>0.53</v>
      </c>
      <c r="V13" s="220">
        <v>1008</v>
      </c>
      <c r="W13" s="220">
        <v>5.5</v>
      </c>
      <c r="X13" s="220">
        <v>77.599999999999994</v>
      </c>
      <c r="Y13" s="220">
        <v>2.95</v>
      </c>
      <c r="Z13" s="220">
        <v>17.3</v>
      </c>
      <c r="AA13" s="220">
        <v>17.2</v>
      </c>
      <c r="AB13" s="220">
        <v>599.20000000000005</v>
      </c>
      <c r="AC13" s="220">
        <v>2.9999999999999997E-4</v>
      </c>
      <c r="AD13" s="220">
        <v>2.5999999999999999E-3</v>
      </c>
    </row>
    <row r="14" spans="1:30" ht="28.8" x14ac:dyDescent="0.3">
      <c r="A14" s="217">
        <v>12</v>
      </c>
      <c r="B14" s="220" t="s">
        <v>677</v>
      </c>
      <c r="C14" s="220" t="s">
        <v>651</v>
      </c>
      <c r="D14" s="220" t="s">
        <v>678</v>
      </c>
      <c r="E14" s="220">
        <v>150</v>
      </c>
      <c r="F14" s="221">
        <f t="shared" si="0"/>
        <v>50</v>
      </c>
      <c r="G14" s="220">
        <v>2012</v>
      </c>
      <c r="H14" s="220">
        <v>4</v>
      </c>
      <c r="I14" s="220" t="s">
        <v>679</v>
      </c>
      <c r="J14" s="220" t="s">
        <v>643</v>
      </c>
      <c r="K14" s="222" t="s">
        <v>631</v>
      </c>
      <c r="L14" s="220">
        <v>7.94</v>
      </c>
      <c r="M14" s="220">
        <v>12</v>
      </c>
      <c r="N14" s="220">
        <v>580</v>
      </c>
      <c r="O14" s="220">
        <v>293</v>
      </c>
      <c r="P14" s="220">
        <v>4.0000000000000002E-4</v>
      </c>
      <c r="Q14" s="220">
        <v>147</v>
      </c>
      <c r="R14" s="220">
        <v>0.14000000000000001</v>
      </c>
      <c r="S14" s="220">
        <v>29.82</v>
      </c>
      <c r="T14" s="220">
        <v>756</v>
      </c>
      <c r="U14" s="220">
        <v>1</v>
      </c>
      <c r="V14" s="220">
        <v>580</v>
      </c>
      <c r="W14" s="220">
        <v>18.600000000000001</v>
      </c>
      <c r="X14" s="220">
        <v>11.8</v>
      </c>
      <c r="Y14" s="220">
        <v>1.1100000000000001</v>
      </c>
      <c r="Z14" s="220">
        <v>49.5</v>
      </c>
      <c r="AA14" s="220">
        <v>2.87</v>
      </c>
      <c r="AB14" s="220">
        <v>654.79999999999995</v>
      </c>
      <c r="AC14" s="220">
        <v>2.9999999999999997E-4</v>
      </c>
      <c r="AD14" s="220">
        <v>6.8999999999999999E-3</v>
      </c>
    </row>
    <row r="15" spans="1:30" ht="43.2" x14ac:dyDescent="0.3">
      <c r="A15" s="217">
        <v>13</v>
      </c>
      <c r="B15" s="220" t="s">
        <v>680</v>
      </c>
      <c r="C15" s="220" t="s">
        <v>645</v>
      </c>
      <c r="D15" s="220" t="s">
        <v>681</v>
      </c>
      <c r="E15" s="220">
        <v>30</v>
      </c>
      <c r="F15" s="221">
        <f t="shared" si="0"/>
        <v>10</v>
      </c>
      <c r="G15" s="220">
        <v>2011</v>
      </c>
      <c r="H15" s="220">
        <v>3</v>
      </c>
      <c r="I15" s="220" t="s">
        <v>682</v>
      </c>
      <c r="J15" s="220" t="s">
        <v>683</v>
      </c>
      <c r="K15" s="222" t="s">
        <v>684</v>
      </c>
      <c r="L15" s="220">
        <v>7.14</v>
      </c>
      <c r="M15" s="220">
        <v>42</v>
      </c>
      <c r="N15" s="220">
        <v>552</v>
      </c>
      <c r="O15" s="220">
        <v>805</v>
      </c>
      <c r="P15" s="220">
        <v>1.1999999999999999E-3</v>
      </c>
      <c r="Q15" s="220">
        <v>402</v>
      </c>
      <c r="R15" s="220">
        <v>0.39</v>
      </c>
      <c r="S15" s="220">
        <v>29.86</v>
      </c>
      <c r="T15" s="220">
        <v>355</v>
      </c>
      <c r="U15" s="220">
        <v>0.89</v>
      </c>
      <c r="V15" s="220">
        <v>552</v>
      </c>
      <c r="W15" s="220">
        <v>14.3</v>
      </c>
      <c r="X15" s="220">
        <v>61.2</v>
      </c>
      <c r="Y15" s="220">
        <v>1.87</v>
      </c>
      <c r="Z15" s="220">
        <v>51.6</v>
      </c>
      <c r="AA15" s="220">
        <v>10.27</v>
      </c>
      <c r="AB15" s="220">
        <v>378.2</v>
      </c>
      <c r="AC15" s="220">
        <v>2.0000000000000001E-4</v>
      </c>
      <c r="AD15" s="220">
        <v>7.1000000000000004E-3</v>
      </c>
    </row>
    <row r="16" spans="1:30" ht="43.2" x14ac:dyDescent="0.3">
      <c r="A16" s="217">
        <v>14</v>
      </c>
      <c r="B16" s="220" t="s">
        <v>685</v>
      </c>
      <c r="C16" s="220" t="s">
        <v>645</v>
      </c>
      <c r="D16" s="220" t="s">
        <v>686</v>
      </c>
      <c r="E16" s="220">
        <v>130</v>
      </c>
      <c r="F16" s="221">
        <f t="shared" si="0"/>
        <v>43.333333333333336</v>
      </c>
      <c r="G16" s="220">
        <v>2013</v>
      </c>
      <c r="H16" s="220">
        <v>4</v>
      </c>
      <c r="I16" s="220" t="s">
        <v>687</v>
      </c>
      <c r="J16" s="220" t="s">
        <v>688</v>
      </c>
      <c r="K16" s="222" t="s">
        <v>684</v>
      </c>
      <c r="L16" s="220">
        <v>7.62</v>
      </c>
      <c r="M16" s="220">
        <v>31.5</v>
      </c>
      <c r="N16" s="220">
        <v>1128</v>
      </c>
      <c r="O16" s="220">
        <v>996</v>
      </c>
      <c r="P16" s="220">
        <v>1E-3</v>
      </c>
      <c r="Q16" s="220">
        <v>499</v>
      </c>
      <c r="R16" s="220">
        <v>0.49</v>
      </c>
      <c r="S16" s="220">
        <v>29.21</v>
      </c>
      <c r="T16" s="220">
        <v>622</v>
      </c>
      <c r="U16" s="220">
        <v>0.44</v>
      </c>
      <c r="V16" s="220">
        <v>1128</v>
      </c>
      <c r="W16" s="220">
        <v>17.600000000000001</v>
      </c>
      <c r="X16" s="220">
        <v>53.29</v>
      </c>
      <c r="Y16" s="220">
        <v>2.65</v>
      </c>
      <c r="Z16" s="220">
        <v>117.6</v>
      </c>
      <c r="AA16" s="220">
        <v>3.8</v>
      </c>
      <c r="AB16" s="220">
        <v>847.6</v>
      </c>
      <c r="AC16" s="220">
        <v>2.9999999999999997E-4</v>
      </c>
      <c r="AD16" s="220">
        <v>1.4E-3</v>
      </c>
    </row>
    <row r="17" spans="1:30" ht="28.8" x14ac:dyDescent="0.3">
      <c r="A17" s="217">
        <v>15</v>
      </c>
      <c r="B17" s="220" t="s">
        <v>689</v>
      </c>
      <c r="C17" s="220" t="s">
        <v>645</v>
      </c>
      <c r="D17" s="220" t="s">
        <v>690</v>
      </c>
      <c r="E17" s="220">
        <v>65</v>
      </c>
      <c r="F17" s="221">
        <f t="shared" si="0"/>
        <v>21.666666666666668</v>
      </c>
      <c r="G17" s="220">
        <v>2013</v>
      </c>
      <c r="H17" s="220">
        <v>6</v>
      </c>
      <c r="I17" s="220" t="s">
        <v>691</v>
      </c>
      <c r="J17" s="220" t="s">
        <v>692</v>
      </c>
      <c r="K17" s="222" t="s">
        <v>693</v>
      </c>
      <c r="L17" s="220">
        <v>6.83</v>
      </c>
      <c r="M17" s="220">
        <v>45.6</v>
      </c>
      <c r="N17" s="220">
        <v>1540</v>
      </c>
      <c r="O17" s="220">
        <v>1184</v>
      </c>
      <c r="P17" s="220">
        <v>8.0000000000000004E-4</v>
      </c>
      <c r="Q17" s="220">
        <v>592</v>
      </c>
      <c r="R17" s="220">
        <v>0.57999999999999996</v>
      </c>
      <c r="S17" s="220">
        <v>29.68</v>
      </c>
      <c r="T17" s="220">
        <v>518</v>
      </c>
      <c r="U17" s="220">
        <v>0.21</v>
      </c>
      <c r="V17" s="220">
        <v>1540</v>
      </c>
      <c r="W17" s="220">
        <v>27.1</v>
      </c>
      <c r="X17" s="220">
        <v>107.56</v>
      </c>
      <c r="Y17" s="220">
        <v>8.27</v>
      </c>
      <c r="Z17" s="220">
        <v>126.7</v>
      </c>
      <c r="AA17" s="220">
        <v>12.74</v>
      </c>
      <c r="AB17" s="220">
        <v>459.7</v>
      </c>
      <c r="AC17" s="220">
        <v>2.9999999999999997E-4</v>
      </c>
      <c r="AD17" s="220">
        <v>1.46E-2</v>
      </c>
    </row>
    <row r="18" spans="1:30" ht="28.8" x14ac:dyDescent="0.3">
      <c r="A18" s="217">
        <v>16</v>
      </c>
      <c r="B18" s="220" t="s">
        <v>694</v>
      </c>
      <c r="C18" s="220" t="s">
        <v>645</v>
      </c>
      <c r="D18" s="220" t="s">
        <v>695</v>
      </c>
      <c r="E18" s="220">
        <v>100</v>
      </c>
      <c r="F18" s="221">
        <f t="shared" si="0"/>
        <v>33.333333333333336</v>
      </c>
      <c r="G18" s="220">
        <v>2009</v>
      </c>
      <c r="H18" s="220">
        <v>5</v>
      </c>
      <c r="I18" s="220" t="s">
        <v>696</v>
      </c>
      <c r="J18" s="220" t="s">
        <v>697</v>
      </c>
      <c r="K18" s="222" t="s">
        <v>693</v>
      </c>
      <c r="L18" s="220">
        <v>7.02</v>
      </c>
      <c r="M18" s="220">
        <v>44.2</v>
      </c>
      <c r="N18" s="220">
        <v>912</v>
      </c>
      <c r="O18" s="220">
        <v>1156</v>
      </c>
      <c r="P18" s="220">
        <v>8.9999999999999998E-4</v>
      </c>
      <c r="Q18" s="220">
        <v>575</v>
      </c>
      <c r="R18" s="220">
        <v>0.56000000000000005</v>
      </c>
      <c r="S18" s="220">
        <v>29.71</v>
      </c>
      <c r="T18" s="220">
        <v>440</v>
      </c>
      <c r="U18" s="220">
        <v>0.33</v>
      </c>
      <c r="V18" s="220">
        <v>912</v>
      </c>
      <c r="W18" s="220">
        <v>13.2</v>
      </c>
      <c r="X18" s="220">
        <v>55.36</v>
      </c>
      <c r="Y18" s="220">
        <v>0.79</v>
      </c>
      <c r="Z18" s="220">
        <v>95.2</v>
      </c>
      <c r="AA18" s="220">
        <v>2.89</v>
      </c>
      <c r="AB18" s="220">
        <v>211.8</v>
      </c>
      <c r="AC18" s="220">
        <v>1E-4</v>
      </c>
      <c r="AD18" s="220">
        <v>6.4999999999999997E-3</v>
      </c>
    </row>
    <row r="19" spans="1:30" ht="43.2" x14ac:dyDescent="0.3">
      <c r="A19" s="217">
        <v>17</v>
      </c>
      <c r="B19" s="220" t="s">
        <v>698</v>
      </c>
      <c r="C19" s="220" t="s">
        <v>645</v>
      </c>
      <c r="D19" s="220" t="s">
        <v>699</v>
      </c>
      <c r="E19" s="220">
        <v>270</v>
      </c>
      <c r="F19" s="221">
        <f t="shared" si="0"/>
        <v>90</v>
      </c>
      <c r="G19" s="220">
        <v>2019</v>
      </c>
      <c r="H19" s="220">
        <v>7</v>
      </c>
      <c r="I19" s="220" t="s">
        <v>700</v>
      </c>
      <c r="J19" s="220" t="s">
        <v>701</v>
      </c>
      <c r="K19" s="222" t="s">
        <v>684</v>
      </c>
      <c r="L19" s="220">
        <v>7.42</v>
      </c>
      <c r="M19" s="220">
        <v>36.5</v>
      </c>
      <c r="N19" s="220">
        <v>648</v>
      </c>
      <c r="O19" s="220">
        <v>954</v>
      </c>
      <c r="P19" s="220">
        <v>1E-3</v>
      </c>
      <c r="Q19" s="220">
        <v>477</v>
      </c>
      <c r="R19" s="220">
        <v>0.46</v>
      </c>
      <c r="S19" s="220">
        <v>29.65</v>
      </c>
      <c r="T19" s="220">
        <v>280</v>
      </c>
      <c r="U19" s="220">
        <v>0.32</v>
      </c>
      <c r="V19" s="220">
        <v>648</v>
      </c>
      <c r="W19" s="220">
        <v>14.3</v>
      </c>
      <c r="X19" s="220">
        <v>88.53</v>
      </c>
      <c r="Y19" s="220">
        <v>5.32</v>
      </c>
      <c r="Z19" s="220">
        <v>26.3</v>
      </c>
      <c r="AA19" s="220">
        <v>2.87</v>
      </c>
      <c r="AB19" s="220">
        <v>198.6</v>
      </c>
      <c r="AC19" s="220">
        <v>2.0000000000000001E-4</v>
      </c>
      <c r="AD19" s="220">
        <v>7.4000000000000003E-3</v>
      </c>
    </row>
    <row r="20" spans="1:30" ht="43.2" x14ac:dyDescent="0.3">
      <c r="A20" s="217">
        <v>18</v>
      </c>
      <c r="B20" s="220" t="s">
        <v>702</v>
      </c>
      <c r="C20" s="220" t="s">
        <v>645</v>
      </c>
      <c r="D20" s="220" t="s">
        <v>703</v>
      </c>
      <c r="E20" s="220">
        <v>150</v>
      </c>
      <c r="F20" s="221">
        <f t="shared" si="0"/>
        <v>50</v>
      </c>
      <c r="G20" s="220">
        <v>2015</v>
      </c>
      <c r="H20" s="220">
        <v>3</v>
      </c>
      <c r="I20" s="220" t="s">
        <v>704</v>
      </c>
      <c r="J20" s="220" t="s">
        <v>705</v>
      </c>
      <c r="K20" s="222" t="s">
        <v>684</v>
      </c>
      <c r="L20" s="220">
        <v>7.35</v>
      </c>
      <c r="M20" s="220">
        <v>42.3</v>
      </c>
      <c r="N20" s="220">
        <v>952</v>
      </c>
      <c r="O20" s="220">
        <v>951</v>
      </c>
      <c r="P20" s="220">
        <v>1.1000000000000001E-3</v>
      </c>
      <c r="Q20" s="220">
        <v>475</v>
      </c>
      <c r="R20" s="220">
        <v>0.46</v>
      </c>
      <c r="S20" s="220">
        <v>29.79</v>
      </c>
      <c r="T20" s="220">
        <v>266</v>
      </c>
      <c r="U20" s="220">
        <v>0.39</v>
      </c>
      <c r="V20" s="220">
        <v>952</v>
      </c>
      <c r="W20" s="220">
        <v>23.4</v>
      </c>
      <c r="X20" s="220">
        <v>53.46</v>
      </c>
      <c r="Y20" s="220">
        <v>2.87</v>
      </c>
      <c r="Z20" s="220">
        <v>40.68</v>
      </c>
      <c r="AA20" s="220">
        <v>4.0599999999999996</v>
      </c>
      <c r="AB20" s="220">
        <v>501.6</v>
      </c>
      <c r="AC20" s="220">
        <v>2.9999999999999997E-4</v>
      </c>
      <c r="AD20" s="220">
        <v>4.7000000000000002E-3</v>
      </c>
    </row>
    <row r="21" spans="1:30" x14ac:dyDescent="0.3">
      <c r="A21" s="217">
        <v>19</v>
      </c>
      <c r="B21" s="220" t="s">
        <v>706</v>
      </c>
      <c r="C21" s="220" t="s">
        <v>645</v>
      </c>
      <c r="D21" s="220" t="s">
        <v>707</v>
      </c>
      <c r="E21" s="220">
        <v>120</v>
      </c>
      <c r="F21" s="221">
        <f t="shared" si="0"/>
        <v>40</v>
      </c>
      <c r="G21" s="220">
        <v>2018</v>
      </c>
      <c r="H21" s="220">
        <v>4</v>
      </c>
      <c r="I21" s="220" t="s">
        <v>708</v>
      </c>
      <c r="J21" s="220" t="s">
        <v>709</v>
      </c>
      <c r="K21" s="222" t="s">
        <v>710</v>
      </c>
      <c r="L21" s="220">
        <v>7.47</v>
      </c>
      <c r="M21" s="220">
        <v>36.799999999999997</v>
      </c>
      <c r="N21" s="220">
        <v>1420</v>
      </c>
      <c r="O21" s="220">
        <v>884</v>
      </c>
      <c r="P21" s="220">
        <v>1.1000000000000001E-3</v>
      </c>
      <c r="Q21" s="220">
        <v>440</v>
      </c>
      <c r="R21" s="220">
        <v>0.43</v>
      </c>
      <c r="S21" s="220">
        <v>29.66</v>
      </c>
      <c r="T21" s="220">
        <v>325</v>
      </c>
      <c r="U21" s="220">
        <v>0.67</v>
      </c>
      <c r="V21" s="220">
        <v>1420</v>
      </c>
      <c r="W21" s="220">
        <v>28.9</v>
      </c>
      <c r="X21" s="220">
        <v>57.26</v>
      </c>
      <c r="Y21" s="220">
        <v>2.87</v>
      </c>
      <c r="Z21" s="220">
        <v>112</v>
      </c>
      <c r="AA21" s="220">
        <v>1.19</v>
      </c>
      <c r="AB21" s="220">
        <v>223.74</v>
      </c>
      <c r="AC21" s="220">
        <v>2.0000000000000001E-4</v>
      </c>
      <c r="AD21" s="220">
        <v>1E-3</v>
      </c>
    </row>
    <row r="22" spans="1:30" ht="28.8" x14ac:dyDescent="0.3">
      <c r="A22" s="217">
        <v>20</v>
      </c>
      <c r="B22" s="220" t="s">
        <v>711</v>
      </c>
      <c r="C22" s="220" t="s">
        <v>645</v>
      </c>
      <c r="D22" s="220" t="s">
        <v>712</v>
      </c>
      <c r="E22" s="220">
        <v>110</v>
      </c>
      <c r="F22" s="221">
        <f t="shared" si="0"/>
        <v>36.666666666666664</v>
      </c>
      <c r="G22" s="220">
        <v>2016</v>
      </c>
      <c r="H22" s="220">
        <v>8</v>
      </c>
      <c r="I22" s="220" t="s">
        <v>696</v>
      </c>
      <c r="J22" s="220" t="s">
        <v>713</v>
      </c>
      <c r="K22" s="222" t="s">
        <v>631</v>
      </c>
      <c r="L22" s="220">
        <v>6.98</v>
      </c>
      <c r="M22" s="220">
        <v>45.9</v>
      </c>
      <c r="N22" s="220">
        <v>1208</v>
      </c>
      <c r="O22" s="220">
        <v>1139</v>
      </c>
      <c r="P22" s="220">
        <v>8.9999999999999998E-4</v>
      </c>
      <c r="Q22" s="220">
        <v>568</v>
      </c>
      <c r="R22" s="220">
        <v>0.56000000000000005</v>
      </c>
      <c r="S22" s="220">
        <v>29.73</v>
      </c>
      <c r="T22" s="220">
        <v>590</v>
      </c>
      <c r="U22" s="220">
        <v>0.55000000000000004</v>
      </c>
      <c r="V22" s="220">
        <v>1208</v>
      </c>
      <c r="W22" s="220">
        <v>15.1</v>
      </c>
      <c r="X22" s="220">
        <v>64.73</v>
      </c>
      <c r="Y22" s="220">
        <v>2.85</v>
      </c>
      <c r="Z22" s="220">
        <v>89.4</v>
      </c>
      <c r="AA22" s="220">
        <v>0.05</v>
      </c>
      <c r="AB22" s="220">
        <v>157.6</v>
      </c>
      <c r="AC22" s="220">
        <v>5.0000000000000001E-4</v>
      </c>
      <c r="AD22" s="220">
        <v>3.2000000000000002E-3</v>
      </c>
    </row>
    <row r="23" spans="1:30" ht="28.8" x14ac:dyDescent="0.3">
      <c r="A23" s="217">
        <v>21</v>
      </c>
      <c r="B23" s="220" t="s">
        <v>714</v>
      </c>
      <c r="C23" s="220" t="s">
        <v>715</v>
      </c>
      <c r="D23" s="220" t="s">
        <v>716</v>
      </c>
      <c r="E23" s="220">
        <v>80</v>
      </c>
      <c r="F23" s="221">
        <f t="shared" si="0"/>
        <v>26.666666666666668</v>
      </c>
      <c r="G23" s="220">
        <v>2001</v>
      </c>
      <c r="H23" s="220">
        <v>3</v>
      </c>
      <c r="I23" s="220" t="s">
        <v>717</v>
      </c>
      <c r="J23" s="220" t="s">
        <v>718</v>
      </c>
      <c r="K23" s="222" t="s">
        <v>631</v>
      </c>
      <c r="L23" s="220">
        <v>7.47</v>
      </c>
      <c r="M23" s="220">
        <v>-57.5</v>
      </c>
      <c r="N23" s="220">
        <v>760</v>
      </c>
      <c r="O23" s="220">
        <v>2831</v>
      </c>
      <c r="P23" s="220">
        <v>4.0000000000000002E-4</v>
      </c>
      <c r="Q23" s="220">
        <v>1438</v>
      </c>
      <c r="R23" s="220">
        <v>1.48</v>
      </c>
      <c r="S23" s="220">
        <v>29.63</v>
      </c>
      <c r="T23" s="220">
        <v>487</v>
      </c>
      <c r="U23" s="220">
        <v>0.32</v>
      </c>
      <c r="V23" s="220">
        <v>760</v>
      </c>
      <c r="W23" s="220">
        <v>11.6</v>
      </c>
      <c r="X23" s="220">
        <v>82.06</v>
      </c>
      <c r="Y23" s="220">
        <v>1.49</v>
      </c>
      <c r="Z23" s="220">
        <v>75.400000000000006</v>
      </c>
      <c r="AA23" s="220">
        <v>0.37</v>
      </c>
      <c r="AB23" s="220">
        <v>307</v>
      </c>
      <c r="AC23" s="220">
        <v>6.9999999999999999E-4</v>
      </c>
      <c r="AD23" s="220">
        <v>4.5999999999999999E-3</v>
      </c>
    </row>
    <row r="24" spans="1:30" ht="28.8" x14ac:dyDescent="0.3">
      <c r="A24" s="217">
        <v>22</v>
      </c>
      <c r="B24" s="220" t="s">
        <v>719</v>
      </c>
      <c r="C24" s="220" t="s">
        <v>715</v>
      </c>
      <c r="D24" s="220" t="s">
        <v>720</v>
      </c>
      <c r="E24" s="220">
        <v>120</v>
      </c>
      <c r="F24" s="221">
        <f t="shared" si="0"/>
        <v>40</v>
      </c>
      <c r="G24" s="220">
        <v>2018</v>
      </c>
      <c r="H24" s="220">
        <v>2</v>
      </c>
      <c r="I24" s="220" t="s">
        <v>721</v>
      </c>
      <c r="J24" s="220" t="s">
        <v>722</v>
      </c>
      <c r="K24" s="222" t="s">
        <v>631</v>
      </c>
      <c r="L24" s="220">
        <v>6.99</v>
      </c>
      <c r="M24" s="220">
        <v>0.3</v>
      </c>
      <c r="N24" s="220">
        <v>1320</v>
      </c>
      <c r="O24" s="220">
        <v>1011</v>
      </c>
      <c r="P24" s="220">
        <v>1E-3</v>
      </c>
      <c r="Q24" s="220">
        <v>505</v>
      </c>
      <c r="R24" s="220">
        <v>0.49</v>
      </c>
      <c r="S24" s="220">
        <v>29.54</v>
      </c>
      <c r="T24" s="220">
        <v>627</v>
      </c>
      <c r="U24" s="220">
        <v>0.98</v>
      </c>
      <c r="V24" s="220">
        <v>1320</v>
      </c>
      <c r="W24" s="220">
        <v>19.2</v>
      </c>
      <c r="X24" s="220">
        <v>62.7</v>
      </c>
      <c r="Y24" s="220">
        <v>0</v>
      </c>
      <c r="Z24" s="220">
        <v>87.64</v>
      </c>
      <c r="AA24" s="220">
        <v>6.9</v>
      </c>
      <c r="AB24" s="220">
        <v>218.6</v>
      </c>
      <c r="AC24" s="220">
        <v>4.0000000000000002E-4</v>
      </c>
      <c r="AD24" s="220">
        <v>4.7000000000000002E-3</v>
      </c>
    </row>
    <row r="25" spans="1:30" ht="28.8" x14ac:dyDescent="0.3">
      <c r="A25" s="217">
        <v>23</v>
      </c>
      <c r="B25" s="220" t="s">
        <v>723</v>
      </c>
      <c r="C25" s="220" t="s">
        <v>715</v>
      </c>
      <c r="D25" s="220" t="s">
        <v>724</v>
      </c>
      <c r="E25" s="220">
        <v>100</v>
      </c>
      <c r="F25" s="221">
        <f t="shared" si="0"/>
        <v>33.333333333333336</v>
      </c>
      <c r="G25" s="220">
        <v>2021</v>
      </c>
      <c r="H25" s="220">
        <v>6</v>
      </c>
      <c r="I25" s="220" t="s">
        <v>725</v>
      </c>
      <c r="J25" s="220" t="s">
        <v>726</v>
      </c>
      <c r="K25" s="222" t="s">
        <v>631</v>
      </c>
      <c r="L25" s="220">
        <v>7.52</v>
      </c>
      <c r="M25" s="220">
        <v>-0.5</v>
      </c>
      <c r="N25" s="220">
        <v>1008</v>
      </c>
      <c r="O25" s="220">
        <v>2010</v>
      </c>
      <c r="P25" s="220">
        <v>5.0000000000000001E-4</v>
      </c>
      <c r="Q25" s="220">
        <v>1004</v>
      </c>
      <c r="R25" s="220">
        <v>1.01</v>
      </c>
      <c r="S25" s="220">
        <v>29.42</v>
      </c>
      <c r="T25" s="220">
        <v>1320</v>
      </c>
      <c r="U25" s="220">
        <v>1.23</v>
      </c>
      <c r="V25" s="220">
        <v>1008</v>
      </c>
      <c r="W25" s="220">
        <v>13.7</v>
      </c>
      <c r="X25" s="220">
        <v>122.2</v>
      </c>
      <c r="Y25" s="220">
        <v>10.84</v>
      </c>
      <c r="Z25" s="220">
        <v>58.34</v>
      </c>
      <c r="AA25" s="220">
        <v>0.04</v>
      </c>
      <c r="AB25" s="220">
        <v>496.5</v>
      </c>
      <c r="AC25" s="220">
        <v>2.9999999999999997E-4</v>
      </c>
      <c r="AD25" s="220">
        <v>8.9999999999999993E-3</v>
      </c>
    </row>
    <row r="26" spans="1:30" ht="28.8" x14ac:dyDescent="0.3">
      <c r="A26" s="217">
        <v>24</v>
      </c>
      <c r="B26" s="220" t="s">
        <v>727</v>
      </c>
      <c r="C26" s="220" t="s">
        <v>715</v>
      </c>
      <c r="D26" s="220" t="s">
        <v>728</v>
      </c>
      <c r="E26" s="220">
        <v>35</v>
      </c>
      <c r="F26" s="221">
        <f t="shared" si="0"/>
        <v>11.666666666666666</v>
      </c>
      <c r="G26" s="220">
        <v>2020</v>
      </c>
      <c r="H26" s="220">
        <v>3</v>
      </c>
      <c r="I26" s="220" t="s">
        <v>729</v>
      </c>
      <c r="J26" s="220" t="s">
        <v>730</v>
      </c>
      <c r="K26" s="222" t="s">
        <v>631</v>
      </c>
      <c r="L26" s="220">
        <v>7.03</v>
      </c>
      <c r="M26" s="220">
        <v>13.9</v>
      </c>
      <c r="N26" s="220">
        <v>1028</v>
      </c>
      <c r="O26" s="220">
        <v>825</v>
      </c>
      <c r="P26" s="220">
        <v>1.1999999999999999E-3</v>
      </c>
      <c r="Q26" s="220">
        <v>413</v>
      </c>
      <c r="R26" s="220">
        <v>0.4</v>
      </c>
      <c r="S26" s="220">
        <v>29.42</v>
      </c>
      <c r="T26" s="220">
        <v>552</v>
      </c>
      <c r="U26" s="220">
        <v>0.23</v>
      </c>
      <c r="V26" s="220">
        <v>1028</v>
      </c>
      <c r="W26" s="220">
        <v>29</v>
      </c>
      <c r="X26" s="220">
        <v>59.4</v>
      </c>
      <c r="Y26" s="220">
        <v>2.16</v>
      </c>
      <c r="Z26" s="220">
        <v>99.64</v>
      </c>
      <c r="AA26" s="220">
        <v>7.0000000000000007E-2</v>
      </c>
      <c r="AB26" s="220">
        <v>476.1</v>
      </c>
      <c r="AC26" s="220">
        <v>2.9999999999999997E-4</v>
      </c>
      <c r="AD26" s="220">
        <v>3.2000000000000002E-3</v>
      </c>
    </row>
    <row r="27" spans="1:30" x14ac:dyDescent="0.3">
      <c r="A27" s="217">
        <v>25</v>
      </c>
      <c r="B27" s="220" t="s">
        <v>731</v>
      </c>
      <c r="C27" s="220" t="s">
        <v>715</v>
      </c>
      <c r="D27" s="220" t="s">
        <v>732</v>
      </c>
      <c r="E27" s="220">
        <v>120</v>
      </c>
      <c r="F27" s="221">
        <f t="shared" si="0"/>
        <v>40</v>
      </c>
      <c r="G27" s="220">
        <v>2008</v>
      </c>
      <c r="H27" s="220">
        <v>30</v>
      </c>
      <c r="I27" s="220" t="s">
        <v>733</v>
      </c>
      <c r="J27" s="220" t="s">
        <v>734</v>
      </c>
      <c r="K27" s="222" t="s">
        <v>710</v>
      </c>
      <c r="L27" s="220">
        <v>7.12</v>
      </c>
      <c r="M27" s="220">
        <v>23.3</v>
      </c>
      <c r="N27" s="220">
        <v>1920</v>
      </c>
      <c r="O27" s="220">
        <v>2051</v>
      </c>
      <c r="P27" s="220">
        <v>5.0000000000000001E-4</v>
      </c>
      <c r="Q27" s="220">
        <v>1024</v>
      </c>
      <c r="R27" s="220">
        <v>1.04</v>
      </c>
      <c r="S27" s="220">
        <v>29.59</v>
      </c>
      <c r="T27" s="220">
        <v>846</v>
      </c>
      <c r="U27" s="220">
        <v>0.64</v>
      </c>
      <c r="V27" s="220">
        <v>1920</v>
      </c>
      <c r="W27" s="220">
        <v>31.1</v>
      </c>
      <c r="X27" s="220">
        <v>116.93</v>
      </c>
      <c r="Y27" s="220">
        <v>5.57</v>
      </c>
      <c r="Z27" s="220">
        <v>26.7</v>
      </c>
      <c r="AA27" s="220">
        <v>15.69</v>
      </c>
      <c r="AB27" s="220">
        <v>308.5</v>
      </c>
      <c r="AC27" s="220">
        <v>2.0000000000000001E-4</v>
      </c>
      <c r="AD27" s="220">
        <v>4.3E-3</v>
      </c>
    </row>
    <row r="28" spans="1:30" ht="28.8" x14ac:dyDescent="0.3">
      <c r="A28" s="217">
        <v>26</v>
      </c>
      <c r="B28" s="220" t="s">
        <v>735</v>
      </c>
      <c r="C28" s="220" t="s">
        <v>715</v>
      </c>
      <c r="D28" s="220" t="s">
        <v>736</v>
      </c>
      <c r="E28" s="220">
        <v>200</v>
      </c>
      <c r="F28" s="221">
        <f t="shared" si="0"/>
        <v>66.666666666666671</v>
      </c>
      <c r="G28" s="220">
        <v>2013</v>
      </c>
      <c r="H28" s="220">
        <v>50</v>
      </c>
      <c r="I28" s="220" t="s">
        <v>737</v>
      </c>
      <c r="J28" s="220" t="s">
        <v>738</v>
      </c>
      <c r="K28" s="222" t="s">
        <v>631</v>
      </c>
      <c r="L28" s="220">
        <v>7.3</v>
      </c>
      <c r="M28" s="220">
        <v>20.399999999999999</v>
      </c>
      <c r="N28" s="220">
        <v>1048</v>
      </c>
      <c r="O28" s="220">
        <v>1077</v>
      </c>
      <c r="P28" s="220">
        <v>8.9999999999999998E-4</v>
      </c>
      <c r="Q28" s="220">
        <v>530</v>
      </c>
      <c r="R28" s="220">
        <v>0.53</v>
      </c>
      <c r="S28" s="220">
        <v>30.1</v>
      </c>
      <c r="T28" s="220">
        <v>214</v>
      </c>
      <c r="U28" s="220">
        <v>0.36</v>
      </c>
      <c r="V28" s="220">
        <v>1048</v>
      </c>
      <c r="W28" s="220">
        <v>29.6</v>
      </c>
      <c r="X28" s="220">
        <v>123.4</v>
      </c>
      <c r="Y28" s="220">
        <v>0</v>
      </c>
      <c r="Z28" s="220">
        <v>53.1</v>
      </c>
      <c r="AA28" s="220">
        <v>0.56000000000000005</v>
      </c>
      <c r="AB28" s="220">
        <v>316.39999999999998</v>
      </c>
      <c r="AC28" s="220">
        <v>1E-4</v>
      </c>
      <c r="AD28" s="220">
        <v>2.3E-3</v>
      </c>
    </row>
    <row r="29" spans="1:30" ht="28.8" x14ac:dyDescent="0.3">
      <c r="A29" s="217">
        <v>27</v>
      </c>
      <c r="B29" s="220" t="s">
        <v>739</v>
      </c>
      <c r="C29" s="220" t="s">
        <v>715</v>
      </c>
      <c r="D29" s="220" t="s">
        <v>740</v>
      </c>
      <c r="E29" s="220">
        <v>160</v>
      </c>
      <c r="F29" s="221">
        <f t="shared" si="0"/>
        <v>53.333333333333336</v>
      </c>
      <c r="G29" s="220">
        <v>2019</v>
      </c>
      <c r="H29" s="220">
        <v>4</v>
      </c>
      <c r="I29" s="220" t="s">
        <v>741</v>
      </c>
      <c r="J29" s="220" t="s">
        <v>742</v>
      </c>
      <c r="K29" s="222" t="s">
        <v>631</v>
      </c>
      <c r="L29" s="220">
        <v>7.06</v>
      </c>
      <c r="M29" s="220">
        <v>30.7</v>
      </c>
      <c r="N29" s="220">
        <v>824</v>
      </c>
      <c r="O29" s="220">
        <v>1328</v>
      </c>
      <c r="P29" s="220">
        <v>8.0000000000000004E-4</v>
      </c>
      <c r="Q29" s="220">
        <v>664</v>
      </c>
      <c r="R29" s="220">
        <v>0.66</v>
      </c>
      <c r="S29" s="220">
        <v>29.42</v>
      </c>
      <c r="T29" s="220">
        <v>477</v>
      </c>
      <c r="U29" s="220">
        <v>0.54</v>
      </c>
      <c r="V29" s="220">
        <v>824</v>
      </c>
      <c r="W29" s="220">
        <v>12.3</v>
      </c>
      <c r="X29" s="220">
        <v>57.06</v>
      </c>
      <c r="Y29" s="220">
        <v>4.5999999999999996</v>
      </c>
      <c r="Z29" s="220">
        <v>65.2</v>
      </c>
      <c r="AA29" s="220">
        <v>1.18</v>
      </c>
      <c r="AB29" s="220">
        <v>145.9</v>
      </c>
      <c r="AC29" s="220">
        <v>1E-4</v>
      </c>
      <c r="AD29" s="220">
        <v>2.8E-3</v>
      </c>
    </row>
    <row r="30" spans="1:30" ht="28.8" x14ac:dyDescent="0.3">
      <c r="A30" s="217">
        <v>28</v>
      </c>
      <c r="B30" s="220" t="s">
        <v>743</v>
      </c>
      <c r="C30" s="220" t="s">
        <v>744</v>
      </c>
      <c r="D30" s="220" t="s">
        <v>745</v>
      </c>
      <c r="E30" s="220">
        <v>90</v>
      </c>
      <c r="F30" s="221">
        <f t="shared" si="0"/>
        <v>30</v>
      </c>
      <c r="G30" s="220">
        <v>2021</v>
      </c>
      <c r="H30" s="220">
        <v>7</v>
      </c>
      <c r="I30" s="220" t="s">
        <v>746</v>
      </c>
      <c r="J30" s="220" t="s">
        <v>747</v>
      </c>
      <c r="K30" s="222" t="s">
        <v>631</v>
      </c>
      <c r="L30" s="220">
        <v>7.31</v>
      </c>
      <c r="M30" s="220">
        <v>28.3</v>
      </c>
      <c r="N30" s="220">
        <v>992</v>
      </c>
      <c r="O30" s="220">
        <v>1162</v>
      </c>
      <c r="P30" s="220">
        <v>8.9999999999999998E-4</v>
      </c>
      <c r="Q30" s="220">
        <v>581</v>
      </c>
      <c r="R30" s="220">
        <v>0.56999999999999995</v>
      </c>
      <c r="S30" s="220">
        <v>29.56</v>
      </c>
      <c r="T30" s="220">
        <v>453</v>
      </c>
      <c r="U30" s="220">
        <v>1.08</v>
      </c>
      <c r="V30" s="220">
        <v>992</v>
      </c>
      <c r="W30" s="220">
        <v>16.8</v>
      </c>
      <c r="X30" s="220">
        <v>56.7</v>
      </c>
      <c r="Y30" s="220">
        <v>8.7899999999999991</v>
      </c>
      <c r="Z30" s="220">
        <v>56.3</v>
      </c>
      <c r="AA30" s="220">
        <v>5.26</v>
      </c>
      <c r="AB30" s="220">
        <v>589.4</v>
      </c>
      <c r="AC30" s="220">
        <v>1E-4</v>
      </c>
      <c r="AD30" s="220">
        <v>2.7000000000000001E-3</v>
      </c>
    </row>
    <row r="31" spans="1:30" ht="28.8" x14ac:dyDescent="0.3">
      <c r="A31" s="217">
        <v>29</v>
      </c>
      <c r="B31" s="220" t="s">
        <v>748</v>
      </c>
      <c r="C31" s="220" t="s">
        <v>715</v>
      </c>
      <c r="D31" s="220" t="s">
        <v>749</v>
      </c>
      <c r="E31" s="220">
        <v>120</v>
      </c>
      <c r="F31" s="221">
        <f t="shared" si="0"/>
        <v>40</v>
      </c>
      <c r="G31" s="220">
        <v>2014</v>
      </c>
      <c r="H31" s="220">
        <v>5</v>
      </c>
      <c r="I31" s="220" t="s">
        <v>750</v>
      </c>
      <c r="J31" s="220" t="s">
        <v>751</v>
      </c>
      <c r="K31" s="222" t="s">
        <v>631</v>
      </c>
      <c r="L31" s="220">
        <v>6.99</v>
      </c>
      <c r="M31" s="220">
        <v>53.5</v>
      </c>
      <c r="N31" s="220">
        <v>1176</v>
      </c>
      <c r="O31" s="220">
        <v>983</v>
      </c>
      <c r="P31" s="220">
        <v>1E-3</v>
      </c>
      <c r="Q31" s="220">
        <v>492</v>
      </c>
      <c r="R31" s="220">
        <v>0.48</v>
      </c>
      <c r="S31" s="220">
        <v>29.75</v>
      </c>
      <c r="T31" s="220">
        <v>382</v>
      </c>
      <c r="U31" s="220">
        <v>1.45</v>
      </c>
      <c r="V31" s="220">
        <v>1176</v>
      </c>
      <c r="W31" s="220">
        <v>6.7</v>
      </c>
      <c r="X31" s="220">
        <v>58.73</v>
      </c>
      <c r="Y31" s="220">
        <v>0.73</v>
      </c>
      <c r="Z31" s="220">
        <v>113.6</v>
      </c>
      <c r="AA31" s="220">
        <v>22.1</v>
      </c>
      <c r="AB31" s="220">
        <v>119.8</v>
      </c>
      <c r="AC31" s="220">
        <v>1E-4</v>
      </c>
      <c r="AD31" s="220">
        <v>7.1000000000000004E-3</v>
      </c>
    </row>
    <row r="32" spans="1:30" ht="28.8" x14ac:dyDescent="0.3">
      <c r="A32" s="217">
        <v>30</v>
      </c>
      <c r="B32" s="220" t="s">
        <v>752</v>
      </c>
      <c r="C32" s="220" t="s">
        <v>715</v>
      </c>
      <c r="D32" s="220" t="s">
        <v>753</v>
      </c>
      <c r="E32" s="220">
        <v>50</v>
      </c>
      <c r="F32" s="221">
        <f t="shared" si="0"/>
        <v>16.666666666666668</v>
      </c>
      <c r="G32" s="220">
        <v>2022</v>
      </c>
      <c r="H32" s="220">
        <v>6</v>
      </c>
      <c r="I32" s="220" t="s">
        <v>754</v>
      </c>
      <c r="J32" s="220" t="s">
        <v>755</v>
      </c>
      <c r="K32" s="222" t="s">
        <v>631</v>
      </c>
      <c r="L32" s="220">
        <v>7.07</v>
      </c>
      <c r="M32" s="220">
        <v>46.5</v>
      </c>
      <c r="N32" s="220">
        <v>1128</v>
      </c>
      <c r="O32" s="220">
        <v>816</v>
      </c>
      <c r="P32" s="220">
        <v>1.2E-2</v>
      </c>
      <c r="Q32" s="220">
        <v>408</v>
      </c>
      <c r="R32" s="220">
        <v>0.4</v>
      </c>
      <c r="S32" s="220">
        <v>29.63</v>
      </c>
      <c r="T32" s="220">
        <v>596</v>
      </c>
      <c r="U32" s="220">
        <v>0.33</v>
      </c>
      <c r="V32" s="220">
        <v>1128</v>
      </c>
      <c r="W32" s="220">
        <v>16.399999999999999</v>
      </c>
      <c r="X32" s="220">
        <v>26.76</v>
      </c>
      <c r="Y32" s="220">
        <v>0.22</v>
      </c>
      <c r="Z32" s="220">
        <v>58.62</v>
      </c>
      <c r="AA32" s="220">
        <v>2.97</v>
      </c>
      <c r="AB32" s="220">
        <v>571.5</v>
      </c>
      <c r="AC32" s="220">
        <v>2.9999999999999997E-4</v>
      </c>
      <c r="AD32" s="220">
        <v>5.5999999999999999E-3</v>
      </c>
    </row>
    <row r="33" spans="1:30" ht="28.8" x14ac:dyDescent="0.3">
      <c r="A33" s="217">
        <v>31</v>
      </c>
      <c r="B33" s="220" t="s">
        <v>756</v>
      </c>
      <c r="C33" s="220" t="s">
        <v>757</v>
      </c>
      <c r="D33" s="220" t="s">
        <v>758</v>
      </c>
      <c r="E33" s="220">
        <v>110</v>
      </c>
      <c r="F33" s="221">
        <f t="shared" si="0"/>
        <v>36.666666666666664</v>
      </c>
      <c r="G33" s="220">
        <v>2010</v>
      </c>
      <c r="H33" s="220">
        <v>2</v>
      </c>
      <c r="I33" s="220" t="s">
        <v>759</v>
      </c>
      <c r="J33" s="220" t="s">
        <v>760</v>
      </c>
      <c r="K33" s="222" t="s">
        <v>761</v>
      </c>
      <c r="L33" s="220">
        <v>7.44</v>
      </c>
      <c r="M33" s="220">
        <v>37.299999999999997</v>
      </c>
      <c r="N33" s="220">
        <v>728</v>
      </c>
      <c r="O33" s="220">
        <v>1706</v>
      </c>
      <c r="P33" s="220">
        <v>5.9999999999999995E-4</v>
      </c>
      <c r="Q33" s="220">
        <v>853</v>
      </c>
      <c r="R33" s="220">
        <v>0.85</v>
      </c>
      <c r="S33" s="220">
        <v>29.7</v>
      </c>
      <c r="T33" s="220">
        <v>657</v>
      </c>
      <c r="U33" s="220">
        <v>1.39</v>
      </c>
      <c r="V33" s="220">
        <v>728</v>
      </c>
      <c r="W33" s="220">
        <v>10.199999999999999</v>
      </c>
      <c r="X33" s="220">
        <v>98.4</v>
      </c>
      <c r="Y33" s="220">
        <v>2.96</v>
      </c>
      <c r="Z33" s="220">
        <v>37.49</v>
      </c>
      <c r="AA33" s="220">
        <v>0.32</v>
      </c>
      <c r="AB33" s="220">
        <v>241.63</v>
      </c>
      <c r="AC33" s="220">
        <v>1E-4</v>
      </c>
      <c r="AD33" s="220">
        <v>4.0000000000000001E-3</v>
      </c>
    </row>
    <row r="34" spans="1:30" ht="28.8" x14ac:dyDescent="0.3">
      <c r="A34" s="217">
        <v>32</v>
      </c>
      <c r="B34" s="220" t="s">
        <v>762</v>
      </c>
      <c r="C34" s="220" t="s">
        <v>757</v>
      </c>
      <c r="D34" s="220" t="s">
        <v>758</v>
      </c>
      <c r="E34" s="220">
        <v>100</v>
      </c>
      <c r="F34" s="221">
        <f t="shared" si="0"/>
        <v>33.333333333333336</v>
      </c>
      <c r="G34" s="220">
        <v>2016</v>
      </c>
      <c r="H34" s="220">
        <v>2</v>
      </c>
      <c r="I34" s="220" t="s">
        <v>763</v>
      </c>
      <c r="J34" s="220" t="s">
        <v>764</v>
      </c>
      <c r="K34" s="222" t="s">
        <v>761</v>
      </c>
      <c r="L34" s="220">
        <v>7.19</v>
      </c>
      <c r="M34" s="220">
        <v>58.2</v>
      </c>
      <c r="N34" s="220">
        <v>1380</v>
      </c>
      <c r="O34" s="220">
        <v>2052</v>
      </c>
      <c r="P34" s="220">
        <v>5.0000000000000001E-4</v>
      </c>
      <c r="Q34" s="220">
        <v>1028</v>
      </c>
      <c r="R34" s="220">
        <v>1.04</v>
      </c>
      <c r="S34" s="220">
        <v>29.43</v>
      </c>
      <c r="T34" s="220">
        <v>348</v>
      </c>
      <c r="U34" s="220">
        <v>0.82</v>
      </c>
      <c r="V34" s="220">
        <v>1380</v>
      </c>
      <c r="W34" s="220">
        <v>12.1</v>
      </c>
      <c r="X34" s="220">
        <v>100.06</v>
      </c>
      <c r="Y34" s="220">
        <v>48.5</v>
      </c>
      <c r="Z34" s="220">
        <v>96.24</v>
      </c>
      <c r="AA34" s="220">
        <v>8.6999999999999993</v>
      </c>
      <c r="AB34" s="220">
        <v>98.54</v>
      </c>
      <c r="AC34" s="220">
        <v>1E-4</v>
      </c>
      <c r="AD34" s="220">
        <v>8.3999999999999995E-3</v>
      </c>
    </row>
    <row r="35" spans="1:30" ht="28.8" x14ac:dyDescent="0.3">
      <c r="A35" s="217">
        <v>33</v>
      </c>
      <c r="B35" s="220" t="s">
        <v>765</v>
      </c>
      <c r="C35" s="220" t="s">
        <v>766</v>
      </c>
      <c r="D35" s="220" t="s">
        <v>767</v>
      </c>
      <c r="E35" s="220">
        <v>50</v>
      </c>
      <c r="F35" s="221">
        <f t="shared" si="0"/>
        <v>16.666666666666668</v>
      </c>
      <c r="G35" s="220">
        <v>2015</v>
      </c>
      <c r="H35" s="220">
        <v>4</v>
      </c>
      <c r="I35" s="220" t="s">
        <v>768</v>
      </c>
      <c r="J35" s="220" t="s">
        <v>769</v>
      </c>
      <c r="K35" s="222" t="s">
        <v>631</v>
      </c>
      <c r="L35" s="220">
        <v>7.13</v>
      </c>
      <c r="M35" s="220">
        <v>55.6</v>
      </c>
      <c r="N35" s="220">
        <v>908</v>
      </c>
      <c r="O35" s="220">
        <v>926</v>
      </c>
      <c r="P35" s="220">
        <v>1.1000000000000001E-3</v>
      </c>
      <c r="Q35" s="220">
        <v>463</v>
      </c>
      <c r="R35" s="220">
        <v>0.45</v>
      </c>
      <c r="S35" s="220">
        <v>29.55</v>
      </c>
      <c r="T35" s="220">
        <v>555</v>
      </c>
      <c r="U35" s="220">
        <v>0.35</v>
      </c>
      <c r="V35" s="220">
        <v>908</v>
      </c>
      <c r="W35" s="220">
        <v>14.3</v>
      </c>
      <c r="X35" s="220">
        <v>63.1</v>
      </c>
      <c r="Y35" s="220">
        <v>3.47</v>
      </c>
      <c r="Z35" s="220">
        <v>11.9</v>
      </c>
      <c r="AA35" s="220">
        <v>5.2</v>
      </c>
      <c r="AB35" s="220">
        <v>138.6</v>
      </c>
      <c r="AC35" s="220">
        <v>2.0000000000000001E-4</v>
      </c>
      <c r="AD35" s="220">
        <v>7.4000000000000003E-3</v>
      </c>
    </row>
    <row r="36" spans="1:30" ht="28.8" x14ac:dyDescent="0.3">
      <c r="A36" s="217">
        <v>34</v>
      </c>
      <c r="B36" s="220" t="s">
        <v>770</v>
      </c>
      <c r="C36" s="220" t="s">
        <v>771</v>
      </c>
      <c r="D36" s="220" t="s">
        <v>772</v>
      </c>
      <c r="E36" s="220">
        <v>200</v>
      </c>
      <c r="F36" s="221">
        <f t="shared" si="0"/>
        <v>66.666666666666671</v>
      </c>
      <c r="G36" s="220">
        <v>2013</v>
      </c>
      <c r="H36" s="220">
        <v>80</v>
      </c>
      <c r="I36" s="220" t="s">
        <v>773</v>
      </c>
      <c r="J36" s="220" t="s">
        <v>774</v>
      </c>
      <c r="K36" s="222" t="s">
        <v>631</v>
      </c>
      <c r="L36" s="220">
        <v>7.28</v>
      </c>
      <c r="M36" s="220">
        <v>62.8</v>
      </c>
      <c r="N36" s="220">
        <v>868</v>
      </c>
      <c r="O36" s="220">
        <v>910</v>
      </c>
      <c r="P36" s="220">
        <v>1.1000000000000001E-3</v>
      </c>
      <c r="Q36" s="220">
        <v>455</v>
      </c>
      <c r="R36" s="220">
        <v>0.44</v>
      </c>
      <c r="S36" s="220">
        <v>29.67</v>
      </c>
      <c r="T36" s="220">
        <v>380</v>
      </c>
      <c r="U36" s="220">
        <v>0.28000000000000003</v>
      </c>
      <c r="V36" s="220">
        <v>868</v>
      </c>
      <c r="W36" s="220">
        <v>17.8</v>
      </c>
      <c r="X36" s="220">
        <v>93.53</v>
      </c>
      <c r="Y36" s="220">
        <v>3.38</v>
      </c>
      <c r="Z36" s="220">
        <v>282</v>
      </c>
      <c r="AA36" s="220">
        <v>3.4</v>
      </c>
      <c r="AB36" s="220">
        <v>468.7</v>
      </c>
      <c r="AC36" s="220">
        <v>2.0000000000000001E-4</v>
      </c>
      <c r="AD36" s="220">
        <v>1.5E-3</v>
      </c>
    </row>
    <row r="37" spans="1:30" ht="28.8" x14ac:dyDescent="0.3">
      <c r="A37" s="217">
        <v>35</v>
      </c>
      <c r="B37" s="220" t="s">
        <v>775</v>
      </c>
      <c r="C37" s="220" t="s">
        <v>776</v>
      </c>
      <c r="D37" s="220" t="s">
        <v>777</v>
      </c>
      <c r="E37" s="220">
        <v>110</v>
      </c>
      <c r="F37" s="221">
        <f t="shared" si="0"/>
        <v>36.666666666666664</v>
      </c>
      <c r="G37" s="220">
        <v>2005</v>
      </c>
      <c r="H37" s="220">
        <v>60</v>
      </c>
      <c r="I37" s="220" t="s">
        <v>725</v>
      </c>
      <c r="J37" s="220" t="s">
        <v>726</v>
      </c>
      <c r="K37" s="222" t="s">
        <v>631</v>
      </c>
      <c r="L37" s="220">
        <v>7.27</v>
      </c>
      <c r="M37" s="220">
        <v>62.5</v>
      </c>
      <c r="N37" s="220">
        <v>500</v>
      </c>
      <c r="O37" s="220">
        <v>1061</v>
      </c>
      <c r="P37" s="220">
        <v>8.9999999999999998E-4</v>
      </c>
      <c r="Q37" s="220">
        <v>531</v>
      </c>
      <c r="R37" s="220">
        <v>0.52</v>
      </c>
      <c r="S37" s="220">
        <v>29.71</v>
      </c>
      <c r="T37" s="220">
        <v>720</v>
      </c>
      <c r="U37" s="220">
        <v>0.74</v>
      </c>
      <c r="V37" s="220">
        <v>500</v>
      </c>
      <c r="W37" s="220">
        <v>10.199999999999999</v>
      </c>
      <c r="X37" s="220">
        <v>114.26</v>
      </c>
      <c r="Y37" s="220">
        <v>2.85</v>
      </c>
      <c r="Z37" s="220">
        <v>96.4</v>
      </c>
      <c r="AA37" s="220">
        <v>0.53</v>
      </c>
      <c r="AB37" s="220">
        <v>173.6</v>
      </c>
      <c r="AC37" s="220">
        <v>2.9999999999999997E-4</v>
      </c>
      <c r="AD37" s="220">
        <v>9.7000000000000003E-3</v>
      </c>
    </row>
    <row r="38" spans="1:30" ht="28.8" x14ac:dyDescent="0.3">
      <c r="A38" s="217">
        <v>36</v>
      </c>
      <c r="B38" s="220" t="s">
        <v>778</v>
      </c>
      <c r="C38" s="220" t="s">
        <v>776</v>
      </c>
      <c r="D38" s="220" t="s">
        <v>779</v>
      </c>
      <c r="E38" s="220">
        <v>160</v>
      </c>
      <c r="F38" s="221">
        <f t="shared" si="0"/>
        <v>53.333333333333336</v>
      </c>
      <c r="G38" s="220">
        <v>2007</v>
      </c>
      <c r="H38" s="220">
        <v>10</v>
      </c>
      <c r="I38" s="220" t="s">
        <v>780</v>
      </c>
      <c r="J38" s="220" t="s">
        <v>781</v>
      </c>
      <c r="K38" s="222" t="s">
        <v>631</v>
      </c>
      <c r="L38" s="220">
        <v>7.37</v>
      </c>
      <c r="M38" s="220">
        <v>61.6</v>
      </c>
      <c r="N38" s="220">
        <v>480</v>
      </c>
      <c r="O38" s="220">
        <v>1352</v>
      </c>
      <c r="P38" s="220">
        <v>6.9999999999999999E-4</v>
      </c>
      <c r="Q38" s="220">
        <v>676</v>
      </c>
      <c r="R38" s="220">
        <v>0.67</v>
      </c>
      <c r="S38" s="220">
        <v>29.78</v>
      </c>
      <c r="T38" s="220">
        <v>658</v>
      </c>
      <c r="U38" s="220">
        <v>0.98</v>
      </c>
      <c r="V38" s="220">
        <v>480</v>
      </c>
      <c r="W38" s="220">
        <v>8.5</v>
      </c>
      <c r="X38" s="220">
        <v>110.6</v>
      </c>
      <c r="Y38" s="220">
        <v>2.85</v>
      </c>
      <c r="Z38" s="220">
        <v>41.3</v>
      </c>
      <c r="AA38" s="220">
        <v>4.2300000000000004</v>
      </c>
      <c r="AB38" s="220">
        <v>290.39999999999998</v>
      </c>
      <c r="AC38" s="220">
        <v>1E-4</v>
      </c>
      <c r="AD38" s="220">
        <v>9.4000000000000004E-3</v>
      </c>
    </row>
    <row r="39" spans="1:30" x14ac:dyDescent="0.3">
      <c r="A39" s="217"/>
      <c r="B39" s="220"/>
      <c r="C39" s="220"/>
      <c r="D39" s="220"/>
      <c r="E39" s="220"/>
      <c r="F39" s="220"/>
      <c r="G39" s="220"/>
      <c r="H39" s="220"/>
      <c r="I39" s="220"/>
      <c r="J39" s="220"/>
      <c r="K39" s="222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</row>
    <row r="40" spans="1:30" x14ac:dyDescent="0.3">
      <c r="A40" s="217"/>
      <c r="B40" s="218" t="s">
        <v>496</v>
      </c>
      <c r="C40" s="218" t="s">
        <v>782</v>
      </c>
      <c r="D40" s="218" t="s">
        <v>607</v>
      </c>
      <c r="E40" s="218" t="s">
        <v>608</v>
      </c>
      <c r="F40" s="218"/>
      <c r="G40" s="218" t="s">
        <v>610</v>
      </c>
      <c r="H40" s="218" t="s">
        <v>611</v>
      </c>
      <c r="I40" s="218" t="s">
        <v>612</v>
      </c>
      <c r="J40" s="218" t="s">
        <v>7</v>
      </c>
      <c r="K40" s="219" t="s">
        <v>613</v>
      </c>
      <c r="L40" s="218" t="s">
        <v>614</v>
      </c>
      <c r="M40" s="218" t="s">
        <v>615</v>
      </c>
      <c r="N40" s="218" t="s">
        <v>616</v>
      </c>
      <c r="O40" s="218" t="s">
        <v>617</v>
      </c>
      <c r="P40" s="218" t="s">
        <v>618</v>
      </c>
      <c r="Q40" s="218" t="s">
        <v>476</v>
      </c>
      <c r="R40" s="218" t="s">
        <v>619</v>
      </c>
      <c r="S40" s="218" t="s">
        <v>620</v>
      </c>
      <c r="T40" s="218" t="s">
        <v>621</v>
      </c>
      <c r="U40" s="218" t="s">
        <v>622</v>
      </c>
      <c r="V40" s="218" t="s">
        <v>616</v>
      </c>
      <c r="W40" s="218" t="s">
        <v>408</v>
      </c>
      <c r="X40" s="218" t="s">
        <v>623</v>
      </c>
      <c r="Y40" s="218" t="s">
        <v>4</v>
      </c>
      <c r="Z40" s="218" t="s">
        <v>407</v>
      </c>
      <c r="AA40" s="218" t="s">
        <v>5</v>
      </c>
      <c r="AB40" s="218" t="s">
        <v>624</v>
      </c>
      <c r="AC40" s="218" t="s">
        <v>15</v>
      </c>
      <c r="AD40" s="218" t="s">
        <v>625</v>
      </c>
    </row>
    <row r="41" spans="1:30" ht="28.8" x14ac:dyDescent="0.3">
      <c r="A41" s="217">
        <v>1</v>
      </c>
      <c r="B41" s="220" t="s">
        <v>783</v>
      </c>
      <c r="C41" s="220" t="s">
        <v>784</v>
      </c>
      <c r="D41" s="220" t="s">
        <v>785</v>
      </c>
      <c r="E41" s="220">
        <v>110</v>
      </c>
      <c r="F41" s="221">
        <f t="shared" ref="F41:F48" si="1">E41/3</f>
        <v>36.666666666666664</v>
      </c>
      <c r="G41" s="220">
        <v>2012</v>
      </c>
      <c r="H41" s="220">
        <v>20</v>
      </c>
      <c r="I41" s="220" t="s">
        <v>786</v>
      </c>
      <c r="J41" s="220" t="s">
        <v>787</v>
      </c>
      <c r="K41" s="222" t="s">
        <v>631</v>
      </c>
      <c r="L41" s="220">
        <v>7.69</v>
      </c>
      <c r="M41" s="220">
        <v>42.9</v>
      </c>
      <c r="N41" s="220">
        <v>1832</v>
      </c>
      <c r="O41" s="220">
        <v>887</v>
      </c>
      <c r="P41" s="220">
        <v>1.1000000000000001E-3</v>
      </c>
      <c r="Q41" s="220">
        <v>444</v>
      </c>
      <c r="R41" s="220">
        <v>0.43</v>
      </c>
      <c r="S41" s="220">
        <v>29.6</v>
      </c>
      <c r="T41" s="220">
        <v>568</v>
      </c>
      <c r="U41" s="220">
        <v>0.56999999999999995</v>
      </c>
      <c r="V41" s="220">
        <v>1832</v>
      </c>
      <c r="W41" s="220">
        <v>28.7</v>
      </c>
      <c r="X41" s="220">
        <v>63.33</v>
      </c>
      <c r="Y41" s="220">
        <v>15.8</v>
      </c>
      <c r="Z41" s="220">
        <v>55.67</v>
      </c>
      <c r="AA41" s="220">
        <v>2.75</v>
      </c>
      <c r="AB41" s="220">
        <v>876.2</v>
      </c>
      <c r="AC41" s="220">
        <v>1E-4</v>
      </c>
      <c r="AD41" s="220">
        <v>3.5999999999999999E-3</v>
      </c>
    </row>
    <row r="42" spans="1:30" ht="28.8" x14ac:dyDescent="0.3">
      <c r="A42" s="217">
        <v>2</v>
      </c>
      <c r="B42" s="220" t="s">
        <v>788</v>
      </c>
      <c r="C42" s="220" t="s">
        <v>784</v>
      </c>
      <c r="D42" s="220" t="s">
        <v>789</v>
      </c>
      <c r="E42" s="220">
        <v>150</v>
      </c>
      <c r="F42" s="221">
        <f t="shared" si="1"/>
        <v>50</v>
      </c>
      <c r="G42" s="220">
        <v>2014</v>
      </c>
      <c r="H42" s="220">
        <v>8</v>
      </c>
      <c r="I42" s="220" t="s">
        <v>790</v>
      </c>
      <c r="J42" s="220" t="s">
        <v>791</v>
      </c>
      <c r="K42" s="222" t="s">
        <v>631</v>
      </c>
      <c r="L42" s="220">
        <v>7.59</v>
      </c>
      <c r="M42" s="220">
        <v>52</v>
      </c>
      <c r="N42" s="220">
        <v>568</v>
      </c>
      <c r="O42" s="220">
        <v>883</v>
      </c>
      <c r="P42" s="220">
        <v>1.1000000000000001E-3</v>
      </c>
      <c r="Q42" s="220">
        <v>559</v>
      </c>
      <c r="R42" s="220">
        <v>0.43</v>
      </c>
      <c r="S42" s="220">
        <v>29.8</v>
      </c>
      <c r="T42" s="220">
        <v>421</v>
      </c>
      <c r="U42" s="220">
        <v>0.52</v>
      </c>
      <c r="V42" s="220">
        <v>568</v>
      </c>
      <c r="W42" s="220">
        <v>20.2</v>
      </c>
      <c r="X42" s="220">
        <v>66.3</v>
      </c>
      <c r="Y42" s="220">
        <v>2.21</v>
      </c>
      <c r="Z42" s="220">
        <v>47.5</v>
      </c>
      <c r="AA42" s="220">
        <v>1.63</v>
      </c>
      <c r="AB42" s="220">
        <v>384.6</v>
      </c>
      <c r="AC42" s="220">
        <v>2.0000000000000001E-4</v>
      </c>
      <c r="AD42" s="220">
        <v>1.9E-3</v>
      </c>
    </row>
    <row r="43" spans="1:30" ht="28.8" x14ac:dyDescent="0.3">
      <c r="A43" s="217">
        <v>3</v>
      </c>
      <c r="B43" s="220" t="s">
        <v>792</v>
      </c>
      <c r="C43" s="220" t="s">
        <v>784</v>
      </c>
      <c r="D43" s="220" t="s">
        <v>793</v>
      </c>
      <c r="E43" s="220">
        <v>170</v>
      </c>
      <c r="F43" s="221">
        <f t="shared" si="1"/>
        <v>56.666666666666664</v>
      </c>
      <c r="G43" s="220">
        <v>2017</v>
      </c>
      <c r="H43" s="220">
        <v>15</v>
      </c>
      <c r="I43" s="220" t="s">
        <v>794</v>
      </c>
      <c r="J43" s="220" t="s">
        <v>795</v>
      </c>
      <c r="K43" s="222" t="s">
        <v>631</v>
      </c>
      <c r="L43" s="220">
        <v>7.35</v>
      </c>
      <c r="M43" s="220">
        <v>49.3</v>
      </c>
      <c r="N43" s="220">
        <v>672</v>
      </c>
      <c r="O43" s="220">
        <v>1059</v>
      </c>
      <c r="P43" s="220">
        <v>8.9999999999999998E-4</v>
      </c>
      <c r="Q43" s="220">
        <v>530</v>
      </c>
      <c r="R43" s="220">
        <v>0.52</v>
      </c>
      <c r="S43" s="220">
        <v>29.58</v>
      </c>
      <c r="T43" s="220">
        <v>222</v>
      </c>
      <c r="U43" s="220">
        <v>0.33</v>
      </c>
      <c r="V43" s="220">
        <v>672</v>
      </c>
      <c r="W43" s="220">
        <v>24.3</v>
      </c>
      <c r="X43" s="220">
        <v>100.26</v>
      </c>
      <c r="Y43" s="220">
        <v>0.86</v>
      </c>
      <c r="Z43" s="220">
        <v>93.8</v>
      </c>
      <c r="AA43" s="220">
        <v>0.44</v>
      </c>
      <c r="AB43" s="220">
        <v>325.10000000000002</v>
      </c>
      <c r="AC43" s="220">
        <v>6.9999999999999999E-4</v>
      </c>
      <c r="AD43" s="220">
        <v>4.0000000000000001E-3</v>
      </c>
    </row>
    <row r="44" spans="1:30" ht="28.8" x14ac:dyDescent="0.3">
      <c r="A44" s="217">
        <v>4</v>
      </c>
      <c r="B44" s="220" t="s">
        <v>796</v>
      </c>
      <c r="C44" s="220" t="s">
        <v>784</v>
      </c>
      <c r="D44" s="220" t="s">
        <v>797</v>
      </c>
      <c r="E44" s="220">
        <v>120</v>
      </c>
      <c r="F44" s="221">
        <f t="shared" si="1"/>
        <v>40</v>
      </c>
      <c r="G44" s="220">
        <v>2015</v>
      </c>
      <c r="H44" s="220">
        <v>70</v>
      </c>
      <c r="I44" s="220" t="s">
        <v>798</v>
      </c>
      <c r="J44" s="220" t="s">
        <v>799</v>
      </c>
      <c r="K44" s="222" t="s">
        <v>631</v>
      </c>
      <c r="L44" s="220">
        <v>7.29</v>
      </c>
      <c r="M44" s="220">
        <v>48</v>
      </c>
      <c r="N44" s="220">
        <v>692</v>
      </c>
      <c r="O44" s="220">
        <v>1159</v>
      </c>
      <c r="P44" s="220">
        <v>8.0000000000000004E-4</v>
      </c>
      <c r="Q44" s="220">
        <v>580</v>
      </c>
      <c r="R44" s="220">
        <v>0.56999999999999995</v>
      </c>
      <c r="S44" s="220">
        <v>29.73</v>
      </c>
      <c r="T44" s="220">
        <v>320</v>
      </c>
      <c r="U44" s="220">
        <v>0.34</v>
      </c>
      <c r="V44" s="220">
        <v>692</v>
      </c>
      <c r="W44" s="220">
        <v>16.3</v>
      </c>
      <c r="X44" s="220">
        <v>70.33</v>
      </c>
      <c r="Y44" s="220">
        <v>2.6</v>
      </c>
      <c r="Z44" s="220">
        <v>47.63</v>
      </c>
      <c r="AA44" s="220">
        <v>12.72</v>
      </c>
      <c r="AB44" s="220">
        <v>675.2</v>
      </c>
      <c r="AC44" s="220">
        <v>2.0000000000000001E-4</v>
      </c>
      <c r="AD44" s="220">
        <v>3.0000000000000001E-3</v>
      </c>
    </row>
    <row r="45" spans="1:30" ht="28.8" x14ac:dyDescent="0.3">
      <c r="A45" s="217">
        <v>5</v>
      </c>
      <c r="B45" s="220" t="s">
        <v>800</v>
      </c>
      <c r="C45" s="220" t="s">
        <v>801</v>
      </c>
      <c r="D45" s="220" t="s">
        <v>802</v>
      </c>
      <c r="E45" s="220">
        <v>100</v>
      </c>
      <c r="F45" s="221">
        <f t="shared" si="1"/>
        <v>33.333333333333336</v>
      </c>
      <c r="G45" s="220">
        <v>2012</v>
      </c>
      <c r="H45" s="220">
        <v>20</v>
      </c>
      <c r="I45" s="220" t="s">
        <v>803</v>
      </c>
      <c r="J45" s="220" t="s">
        <v>804</v>
      </c>
      <c r="K45" s="222" t="s">
        <v>631</v>
      </c>
      <c r="L45" s="220">
        <v>7.74</v>
      </c>
      <c r="M45" s="220">
        <v>34</v>
      </c>
      <c r="N45" s="220">
        <v>708</v>
      </c>
      <c r="O45" s="220">
        <v>900</v>
      </c>
      <c r="P45" s="220">
        <v>1.1000000000000001E-3</v>
      </c>
      <c r="Q45" s="220">
        <v>450</v>
      </c>
      <c r="R45" s="220">
        <v>0.44</v>
      </c>
      <c r="S45" s="220">
        <v>29.72</v>
      </c>
      <c r="T45" s="220">
        <v>532</v>
      </c>
      <c r="U45" s="220">
        <v>0.36</v>
      </c>
      <c r="V45" s="220">
        <v>708</v>
      </c>
      <c r="W45" s="220">
        <v>9.1999999999999993</v>
      </c>
      <c r="X45" s="220">
        <v>120.7</v>
      </c>
      <c r="Y45" s="220">
        <v>3.1</v>
      </c>
      <c r="Z45" s="220">
        <v>52.7</v>
      </c>
      <c r="AA45" s="220">
        <v>0.8</v>
      </c>
      <c r="AB45" s="220">
        <v>342.5</v>
      </c>
      <c r="AC45" s="220">
        <v>1E-4</v>
      </c>
      <c r="AD45" s="220">
        <v>7.1000000000000004E-3</v>
      </c>
    </row>
    <row r="46" spans="1:30" ht="28.8" x14ac:dyDescent="0.3">
      <c r="A46" s="217">
        <v>6</v>
      </c>
      <c r="B46" s="220" t="s">
        <v>805</v>
      </c>
      <c r="C46" s="220" t="s">
        <v>806</v>
      </c>
      <c r="D46" s="220" t="s">
        <v>807</v>
      </c>
      <c r="E46" s="220">
        <v>50</v>
      </c>
      <c r="F46" s="221">
        <f t="shared" si="1"/>
        <v>16.666666666666668</v>
      </c>
      <c r="G46" s="220">
        <v>2022</v>
      </c>
      <c r="H46" s="220">
        <v>2</v>
      </c>
      <c r="I46" s="220" t="s">
        <v>803</v>
      </c>
      <c r="J46" s="220" t="s">
        <v>804</v>
      </c>
      <c r="K46" s="222" t="s">
        <v>631</v>
      </c>
      <c r="L46" s="220">
        <v>7.7</v>
      </c>
      <c r="M46" s="220">
        <v>28</v>
      </c>
      <c r="N46" s="220">
        <v>692</v>
      </c>
      <c r="O46" s="220">
        <v>798</v>
      </c>
      <c r="P46" s="220">
        <v>1.2999999999999999E-3</v>
      </c>
      <c r="Q46" s="220">
        <v>399</v>
      </c>
      <c r="R46" s="220">
        <v>0.39</v>
      </c>
      <c r="S46" s="220">
        <v>29.59</v>
      </c>
      <c r="T46" s="220">
        <v>1730</v>
      </c>
      <c r="U46" s="220">
        <v>0.67</v>
      </c>
      <c r="V46" s="220">
        <v>692</v>
      </c>
      <c r="W46" s="220">
        <v>16.7</v>
      </c>
      <c r="X46" s="220">
        <v>53.26</v>
      </c>
      <c r="Y46" s="220">
        <v>0.46</v>
      </c>
      <c r="Z46" s="220">
        <v>167.2</v>
      </c>
      <c r="AA46" s="220">
        <v>0.49</v>
      </c>
      <c r="AB46" s="220">
        <v>294.2</v>
      </c>
      <c r="AC46" s="220">
        <v>2.9999999999999997E-4</v>
      </c>
      <c r="AD46" s="220">
        <v>5.5999999999999999E-3</v>
      </c>
    </row>
    <row r="47" spans="1:30" ht="28.8" x14ac:dyDescent="0.3">
      <c r="A47" s="217">
        <v>7</v>
      </c>
      <c r="B47" s="220" t="s">
        <v>808</v>
      </c>
      <c r="C47" s="220" t="s">
        <v>801</v>
      </c>
      <c r="D47" s="220" t="s">
        <v>809</v>
      </c>
      <c r="E47" s="220">
        <v>100</v>
      </c>
      <c r="F47" s="221">
        <f t="shared" si="1"/>
        <v>33.333333333333336</v>
      </c>
      <c r="G47" s="220">
        <v>2012</v>
      </c>
      <c r="H47" s="220">
        <v>10</v>
      </c>
      <c r="I47" s="220" t="s">
        <v>810</v>
      </c>
      <c r="J47" s="220" t="s">
        <v>811</v>
      </c>
      <c r="K47" s="222" t="s">
        <v>631</v>
      </c>
      <c r="L47" s="220">
        <v>7.5</v>
      </c>
      <c r="M47" s="220">
        <v>29.8</v>
      </c>
      <c r="N47" s="220">
        <v>460</v>
      </c>
      <c r="O47" s="220">
        <v>290</v>
      </c>
      <c r="P47" s="220">
        <v>3.3999999999999998E-3</v>
      </c>
      <c r="Q47" s="220">
        <v>145</v>
      </c>
      <c r="R47" s="220">
        <v>0.14000000000000001</v>
      </c>
      <c r="S47" s="220">
        <v>29.67</v>
      </c>
      <c r="T47" s="220">
        <v>528</v>
      </c>
      <c r="U47" s="220">
        <v>1.66</v>
      </c>
      <c r="V47" s="220">
        <v>460</v>
      </c>
      <c r="W47" s="220">
        <v>26.5</v>
      </c>
      <c r="X47" s="220">
        <v>66.33</v>
      </c>
      <c r="Y47" s="220">
        <v>2.27</v>
      </c>
      <c r="Z47" s="220">
        <v>16.8</v>
      </c>
      <c r="AA47" s="220">
        <v>11.7</v>
      </c>
      <c r="AB47" s="220">
        <v>234.6</v>
      </c>
      <c r="AC47" s="220">
        <v>1E-4</v>
      </c>
      <c r="AD47" s="220">
        <v>4.0000000000000001E-3</v>
      </c>
    </row>
    <row r="48" spans="1:30" ht="28.8" x14ac:dyDescent="0.3">
      <c r="A48" s="217">
        <v>8</v>
      </c>
      <c r="B48" s="220" t="s">
        <v>812</v>
      </c>
      <c r="C48" s="220" t="s">
        <v>801</v>
      </c>
      <c r="D48" s="220" t="s">
        <v>813</v>
      </c>
      <c r="E48" s="220">
        <v>75</v>
      </c>
      <c r="F48" s="221">
        <f t="shared" si="1"/>
        <v>25</v>
      </c>
      <c r="G48" s="220">
        <v>2023</v>
      </c>
      <c r="H48" s="220">
        <v>4</v>
      </c>
      <c r="I48" s="220" t="s">
        <v>814</v>
      </c>
      <c r="J48" s="220" t="s">
        <v>815</v>
      </c>
      <c r="K48" s="222" t="s">
        <v>631</v>
      </c>
      <c r="L48" s="220">
        <v>7.04</v>
      </c>
      <c r="M48" s="220">
        <v>55.4</v>
      </c>
      <c r="N48" s="220">
        <v>652</v>
      </c>
      <c r="O48" s="220">
        <v>893</v>
      </c>
      <c r="P48" s="220">
        <v>1.1000000000000001E-3</v>
      </c>
      <c r="Q48" s="220">
        <v>447</v>
      </c>
      <c r="R48" s="220">
        <v>0.44</v>
      </c>
      <c r="S48" s="220">
        <v>29.85</v>
      </c>
      <c r="T48" s="220">
        <v>362</v>
      </c>
      <c r="U48" s="220">
        <v>0.22</v>
      </c>
      <c r="V48" s="220">
        <v>652</v>
      </c>
      <c r="W48" s="220">
        <v>12.3</v>
      </c>
      <c r="X48" s="220">
        <v>67.09</v>
      </c>
      <c r="Y48" s="220">
        <v>3.22</v>
      </c>
      <c r="Z48" s="220">
        <v>102.8</v>
      </c>
      <c r="AA48" s="220">
        <v>0.56000000000000005</v>
      </c>
      <c r="AB48" s="220">
        <v>399.5</v>
      </c>
      <c r="AC48" s="220">
        <v>1E-4</v>
      </c>
      <c r="AD48" s="220">
        <v>8.3999999999999995E-3</v>
      </c>
    </row>
    <row r="49" spans="1:30" x14ac:dyDescent="0.3">
      <c r="A49" s="217"/>
      <c r="B49" s="220"/>
      <c r="C49" s="220"/>
      <c r="D49" s="220"/>
      <c r="E49" s="220"/>
      <c r="F49" s="220"/>
      <c r="G49" s="220"/>
      <c r="H49" s="220"/>
      <c r="I49" s="220"/>
      <c r="J49" s="220"/>
      <c r="K49" s="222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</row>
    <row r="50" spans="1:30" x14ac:dyDescent="0.3">
      <c r="A50" s="217"/>
      <c r="B50" s="220"/>
      <c r="C50" s="220"/>
      <c r="D50" s="220"/>
      <c r="E50" s="220"/>
      <c r="F50" s="220"/>
      <c r="G50" s="220"/>
      <c r="H50" s="220"/>
      <c r="I50" s="220"/>
      <c r="J50" s="220"/>
      <c r="K50" s="222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</row>
    <row r="51" spans="1:30" x14ac:dyDescent="0.3">
      <c r="A51" s="217"/>
      <c r="B51" s="218" t="s">
        <v>496</v>
      </c>
      <c r="C51" s="218" t="s">
        <v>816</v>
      </c>
      <c r="D51" s="218" t="s">
        <v>607</v>
      </c>
      <c r="E51" s="218" t="s">
        <v>608</v>
      </c>
      <c r="F51" s="218"/>
      <c r="G51" s="218" t="s">
        <v>610</v>
      </c>
      <c r="H51" s="218" t="s">
        <v>611</v>
      </c>
      <c r="I51" s="218" t="s">
        <v>612</v>
      </c>
      <c r="J51" s="218" t="s">
        <v>7</v>
      </c>
      <c r="K51" s="219" t="s">
        <v>613</v>
      </c>
      <c r="L51" s="218" t="s">
        <v>614</v>
      </c>
      <c r="M51" s="218" t="s">
        <v>615</v>
      </c>
      <c r="N51" s="218" t="s">
        <v>616</v>
      </c>
      <c r="O51" s="218" t="s">
        <v>617</v>
      </c>
      <c r="P51" s="218" t="s">
        <v>618</v>
      </c>
      <c r="Q51" s="218" t="s">
        <v>476</v>
      </c>
      <c r="R51" s="218" t="s">
        <v>619</v>
      </c>
      <c r="S51" s="218" t="s">
        <v>620</v>
      </c>
      <c r="T51" s="218" t="s">
        <v>621</v>
      </c>
      <c r="U51" s="218" t="s">
        <v>622</v>
      </c>
      <c r="V51" s="218" t="s">
        <v>616</v>
      </c>
      <c r="W51" s="218" t="s">
        <v>408</v>
      </c>
      <c r="X51" s="218" t="s">
        <v>623</v>
      </c>
      <c r="Y51" s="218" t="s">
        <v>4</v>
      </c>
      <c r="Z51" s="218" t="s">
        <v>407</v>
      </c>
      <c r="AA51" s="218" t="s">
        <v>5</v>
      </c>
      <c r="AB51" s="218" t="s">
        <v>624</v>
      </c>
      <c r="AC51" s="218" t="s">
        <v>15</v>
      </c>
      <c r="AD51" s="218" t="s">
        <v>625</v>
      </c>
    </row>
    <row r="52" spans="1:30" x14ac:dyDescent="0.3">
      <c r="A52" s="217">
        <v>1</v>
      </c>
      <c r="B52" s="220" t="s">
        <v>817</v>
      </c>
      <c r="C52" s="220" t="s">
        <v>818</v>
      </c>
      <c r="D52" s="220"/>
      <c r="E52" s="220">
        <v>250</v>
      </c>
      <c r="F52" s="223">
        <f t="shared" ref="F52:F56" si="2">E52/3</f>
        <v>83.333333333333329</v>
      </c>
      <c r="G52" s="220">
        <v>2002</v>
      </c>
      <c r="H52" s="220">
        <v>8</v>
      </c>
      <c r="I52" s="220">
        <v>17.079397</v>
      </c>
      <c r="J52" s="220">
        <v>74.276065000000003</v>
      </c>
      <c r="K52" s="224" t="s">
        <v>819</v>
      </c>
      <c r="L52" s="220">
        <v>7.83</v>
      </c>
      <c r="M52" s="220">
        <v>7.36</v>
      </c>
      <c r="N52" s="220">
        <v>820</v>
      </c>
      <c r="O52" s="220">
        <v>740</v>
      </c>
      <c r="P52" s="220">
        <v>0.01</v>
      </c>
      <c r="Q52" s="220">
        <v>437</v>
      </c>
      <c r="R52" s="220">
        <v>0.24</v>
      </c>
      <c r="S52" s="220">
        <v>27.71</v>
      </c>
      <c r="T52" s="220">
        <v>515</v>
      </c>
      <c r="U52" s="220">
        <v>0.53</v>
      </c>
      <c r="V52" s="220">
        <v>820</v>
      </c>
      <c r="W52" s="220">
        <v>4.7</v>
      </c>
      <c r="X52" s="220">
        <v>87.5</v>
      </c>
      <c r="Y52" s="220">
        <v>0.77</v>
      </c>
      <c r="Z52" s="220">
        <v>50.6</v>
      </c>
      <c r="AA52" s="220">
        <v>0.34</v>
      </c>
      <c r="AB52" s="220">
        <v>342.5</v>
      </c>
      <c r="AC52" s="220">
        <v>2.0000000000000001E-4</v>
      </c>
      <c r="AD52" s="220">
        <v>7.4000000000000003E-3</v>
      </c>
    </row>
    <row r="53" spans="1:30" x14ac:dyDescent="0.3">
      <c r="A53" s="217">
        <v>2</v>
      </c>
      <c r="B53" s="220" t="s">
        <v>820</v>
      </c>
      <c r="C53" s="220" t="s">
        <v>818</v>
      </c>
      <c r="D53" s="220"/>
      <c r="E53" s="220">
        <v>230</v>
      </c>
      <c r="F53" s="223">
        <f t="shared" si="2"/>
        <v>76.666666666666671</v>
      </c>
      <c r="G53" s="220">
        <v>2009</v>
      </c>
      <c r="H53" s="220">
        <v>300</v>
      </c>
      <c r="I53" s="220">
        <v>17.075415</v>
      </c>
      <c r="J53" s="220">
        <v>74.279259999999994</v>
      </c>
      <c r="K53" s="224" t="s">
        <v>710</v>
      </c>
      <c r="L53" s="220">
        <v>7.67</v>
      </c>
      <c r="M53" s="220">
        <v>53.7</v>
      </c>
      <c r="N53" s="220">
        <v>680</v>
      </c>
      <c r="O53" s="220">
        <v>1578</v>
      </c>
      <c r="P53" s="220">
        <v>7.0000000000000001E-3</v>
      </c>
      <c r="Q53" s="220">
        <v>389</v>
      </c>
      <c r="R53" s="220">
        <v>0.98</v>
      </c>
      <c r="S53" s="220">
        <v>27.63</v>
      </c>
      <c r="T53" s="220">
        <v>710</v>
      </c>
      <c r="U53" s="220">
        <v>0.28000000000000003</v>
      </c>
      <c r="V53" s="220">
        <v>680</v>
      </c>
      <c r="W53" s="220">
        <v>12.6</v>
      </c>
      <c r="X53" s="220">
        <v>45.9</v>
      </c>
      <c r="Y53" s="220">
        <v>3.72</v>
      </c>
      <c r="Z53" s="220">
        <v>18.600000000000001</v>
      </c>
      <c r="AA53" s="220">
        <v>0.5</v>
      </c>
      <c r="AB53" s="220">
        <v>450.8</v>
      </c>
      <c r="AC53" s="220">
        <v>2.0000000000000001E-4</v>
      </c>
      <c r="AD53" s="220">
        <v>1.5E-3</v>
      </c>
    </row>
    <row r="54" spans="1:30" x14ac:dyDescent="0.3">
      <c r="A54" s="217">
        <v>3</v>
      </c>
      <c r="B54" s="220" t="s">
        <v>778</v>
      </c>
      <c r="C54" s="220" t="s">
        <v>818</v>
      </c>
      <c r="D54" s="220"/>
      <c r="E54" s="220">
        <v>190</v>
      </c>
      <c r="F54" s="221">
        <f t="shared" si="2"/>
        <v>63.333333333333336</v>
      </c>
      <c r="G54" s="220">
        <v>2012</v>
      </c>
      <c r="H54" s="220">
        <v>20</v>
      </c>
      <c r="I54" s="220">
        <v>17.083134999999999</v>
      </c>
      <c r="J54" s="220">
        <v>74.271844999999999</v>
      </c>
      <c r="K54" s="222" t="s">
        <v>819</v>
      </c>
      <c r="L54" s="220">
        <v>7.18</v>
      </c>
      <c r="M54" s="220">
        <v>84.3</v>
      </c>
      <c r="N54" s="220">
        <v>1135</v>
      </c>
      <c r="O54" s="220">
        <v>1120</v>
      </c>
      <c r="P54" s="220">
        <v>8.9999999999999993E-3</v>
      </c>
      <c r="Q54" s="220">
        <v>652</v>
      </c>
      <c r="R54" s="220">
        <v>0.45</v>
      </c>
      <c r="S54" s="220">
        <v>27.58</v>
      </c>
      <c r="T54" s="220">
        <v>640</v>
      </c>
      <c r="U54" s="220">
        <v>0.73</v>
      </c>
      <c r="V54" s="220">
        <v>1135</v>
      </c>
      <c r="W54" s="220">
        <v>6.8</v>
      </c>
      <c r="X54" s="220">
        <v>113.5</v>
      </c>
      <c r="Y54" s="220">
        <v>5.34</v>
      </c>
      <c r="Z54" s="220">
        <v>94.5</v>
      </c>
      <c r="AA54" s="220">
        <v>1.32</v>
      </c>
      <c r="AB54" s="220">
        <v>555</v>
      </c>
      <c r="AC54" s="220">
        <v>2.9999999999999997E-4</v>
      </c>
      <c r="AD54" s="220">
        <v>9.7000000000000003E-3</v>
      </c>
    </row>
    <row r="55" spans="1:30" x14ac:dyDescent="0.3">
      <c r="A55" s="217">
        <v>4</v>
      </c>
      <c r="B55" s="220" t="s">
        <v>821</v>
      </c>
      <c r="C55" s="220" t="s">
        <v>818</v>
      </c>
      <c r="D55" s="220"/>
      <c r="E55" s="220">
        <v>200</v>
      </c>
      <c r="F55" s="221">
        <f t="shared" si="2"/>
        <v>66.666666666666671</v>
      </c>
      <c r="G55" s="220">
        <v>1997</v>
      </c>
      <c r="H55" s="220">
        <v>4</v>
      </c>
      <c r="I55" s="220">
        <v>17.08287</v>
      </c>
      <c r="J55" s="220">
        <v>74.277914999999993</v>
      </c>
      <c r="K55" s="224" t="s">
        <v>822</v>
      </c>
      <c r="L55" s="220">
        <v>7.23</v>
      </c>
      <c r="M55" s="220">
        <v>73</v>
      </c>
      <c r="N55" s="220">
        <v>420</v>
      </c>
      <c r="O55" s="220">
        <v>980</v>
      </c>
      <c r="P55" s="220">
        <v>7.0000000000000001E-3</v>
      </c>
      <c r="Q55" s="220">
        <v>530</v>
      </c>
      <c r="R55" s="220">
        <v>0.21</v>
      </c>
      <c r="S55" s="220">
        <v>27.5</v>
      </c>
      <c r="T55" s="220">
        <v>296</v>
      </c>
      <c r="U55" s="220">
        <v>0.98</v>
      </c>
      <c r="V55" s="220">
        <v>420</v>
      </c>
      <c r="W55" s="220">
        <v>7.8</v>
      </c>
      <c r="X55" s="220">
        <v>68.400000000000006</v>
      </c>
      <c r="Y55" s="220">
        <v>0.77</v>
      </c>
      <c r="Z55" s="220">
        <v>79.2</v>
      </c>
      <c r="AA55" s="220">
        <v>3.8</v>
      </c>
      <c r="AB55" s="220">
        <v>340.2</v>
      </c>
      <c r="AC55" s="220">
        <v>1E-4</v>
      </c>
      <c r="AD55" s="220">
        <v>1.9E-3</v>
      </c>
    </row>
    <row r="56" spans="1:30" ht="28.8" x14ac:dyDescent="0.3">
      <c r="A56" s="217">
        <v>5</v>
      </c>
      <c r="B56" s="220" t="s">
        <v>823</v>
      </c>
      <c r="C56" s="220" t="s">
        <v>818</v>
      </c>
      <c r="D56" s="220"/>
      <c r="E56" s="220">
        <v>250</v>
      </c>
      <c r="F56" s="223">
        <f t="shared" si="2"/>
        <v>83.333333333333329</v>
      </c>
      <c r="G56" s="220">
        <v>2001</v>
      </c>
      <c r="H56" s="220">
        <v>6</v>
      </c>
      <c r="I56" s="220">
        <v>17.076118999999998</v>
      </c>
      <c r="J56" s="220">
        <v>74.273250000000004</v>
      </c>
      <c r="K56" s="224" t="s">
        <v>824</v>
      </c>
      <c r="L56" s="220">
        <v>7.37</v>
      </c>
      <c r="M56" s="220">
        <v>7.6</v>
      </c>
      <c r="N56" s="220">
        <v>398</v>
      </c>
      <c r="O56" s="220">
        <v>1366</v>
      </c>
      <c r="P56" s="220">
        <v>8.0000000000000002E-3</v>
      </c>
      <c r="Q56" s="220">
        <v>1289</v>
      </c>
      <c r="R56" s="220">
        <v>0.76</v>
      </c>
      <c r="S56" s="220">
        <v>27.6</v>
      </c>
      <c r="T56" s="220">
        <v>357</v>
      </c>
      <c r="U56" s="220">
        <v>0.43</v>
      </c>
      <c r="V56" s="220">
        <v>398</v>
      </c>
      <c r="W56" s="220">
        <v>11.4</v>
      </c>
      <c r="X56" s="220">
        <v>64.8</v>
      </c>
      <c r="Y56" s="220">
        <v>6.22</v>
      </c>
      <c r="Z56" s="220">
        <v>24.9</v>
      </c>
      <c r="AA56" s="220">
        <v>0.56000000000000005</v>
      </c>
      <c r="AB56" s="220">
        <v>680.4</v>
      </c>
      <c r="AC56" s="220">
        <v>2.9999999999999997E-4</v>
      </c>
      <c r="AD56" s="220">
        <v>3.2000000000000002E-3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94D3-9F2C-4ED8-9AB4-878FD1FED084}">
  <dimension ref="A1:AE151"/>
  <sheetViews>
    <sheetView workbookViewId="0">
      <selection activeCell="A2" sqref="A2"/>
    </sheetView>
  </sheetViews>
  <sheetFormatPr defaultRowHeight="14.4" x14ac:dyDescent="0.3"/>
  <sheetData>
    <row r="1" spans="1:31" ht="25.8" x14ac:dyDescent="0.5">
      <c r="A1" s="246" t="s">
        <v>1115</v>
      </c>
      <c r="B1" s="246"/>
      <c r="C1" s="246"/>
      <c r="D1" s="246"/>
      <c r="E1" s="246"/>
      <c r="F1" s="246"/>
    </row>
    <row r="2" spans="1:31" x14ac:dyDescent="0.3">
      <c r="A2" s="225"/>
      <c r="B2" s="226" t="s">
        <v>496</v>
      </c>
      <c r="C2" s="226" t="s">
        <v>606</v>
      </c>
      <c r="D2" s="227" t="s">
        <v>607</v>
      </c>
      <c r="E2" s="228" t="s">
        <v>608</v>
      </c>
      <c r="F2" s="228" t="s">
        <v>609</v>
      </c>
      <c r="G2" s="228" t="s">
        <v>610</v>
      </c>
      <c r="H2" s="228" t="s">
        <v>611</v>
      </c>
      <c r="I2" s="228" t="s">
        <v>612</v>
      </c>
      <c r="J2" s="228" t="s">
        <v>7</v>
      </c>
      <c r="K2" s="229" t="s">
        <v>825</v>
      </c>
      <c r="L2" s="226" t="s">
        <v>826</v>
      </c>
      <c r="M2" s="226" t="s">
        <v>614</v>
      </c>
      <c r="N2" s="226" t="s">
        <v>615</v>
      </c>
      <c r="O2" s="230" t="s">
        <v>616</v>
      </c>
      <c r="P2" s="226" t="s">
        <v>617</v>
      </c>
      <c r="Q2" s="226" t="s">
        <v>618</v>
      </c>
      <c r="R2" s="226" t="s">
        <v>476</v>
      </c>
      <c r="S2" s="226" t="s">
        <v>619</v>
      </c>
      <c r="T2" s="226" t="s">
        <v>620</v>
      </c>
      <c r="U2" s="228" t="s">
        <v>621</v>
      </c>
      <c r="V2" s="231" t="s">
        <v>622</v>
      </c>
      <c r="W2" s="230" t="s">
        <v>616</v>
      </c>
      <c r="X2" s="232" t="s">
        <v>408</v>
      </c>
      <c r="Y2" s="226" t="s">
        <v>623</v>
      </c>
      <c r="Z2" s="226" t="s">
        <v>4</v>
      </c>
      <c r="AA2" s="226" t="s">
        <v>407</v>
      </c>
      <c r="AB2" s="226" t="s">
        <v>5</v>
      </c>
      <c r="AC2" s="226" t="s">
        <v>624</v>
      </c>
      <c r="AD2" s="226" t="s">
        <v>15</v>
      </c>
      <c r="AE2" s="226" t="s">
        <v>625</v>
      </c>
    </row>
    <row r="3" spans="1:31" x14ac:dyDescent="0.3">
      <c r="A3" s="225">
        <v>1</v>
      </c>
      <c r="B3" s="233" t="s">
        <v>827</v>
      </c>
      <c r="C3" s="233" t="s">
        <v>818</v>
      </c>
      <c r="D3" s="234" t="s">
        <v>828</v>
      </c>
      <c r="E3" s="74">
        <v>30</v>
      </c>
      <c r="F3" s="74">
        <f t="shared" ref="F3:F9" si="0">E3/3</f>
        <v>10</v>
      </c>
      <c r="G3" s="74">
        <v>2000</v>
      </c>
      <c r="H3" s="74">
        <v>2</v>
      </c>
      <c r="I3" s="74">
        <v>17.072648000000001</v>
      </c>
      <c r="J3" s="74">
        <v>74.272107000000005</v>
      </c>
      <c r="K3" s="224" t="s">
        <v>822</v>
      </c>
      <c r="L3" s="233"/>
      <c r="M3" s="74">
        <v>7.71</v>
      </c>
      <c r="N3" s="74">
        <v>90</v>
      </c>
      <c r="O3" s="74">
        <v>4.21</v>
      </c>
      <c r="P3" s="74">
        <v>955</v>
      </c>
      <c r="Q3" s="74">
        <v>6.9999999999999999E-4</v>
      </c>
      <c r="R3" s="74">
        <v>720</v>
      </c>
      <c r="S3" s="74">
        <v>0.55000000000000004</v>
      </c>
      <c r="T3" s="74">
        <v>27.63</v>
      </c>
      <c r="U3" s="74">
        <v>460</v>
      </c>
      <c r="V3" s="235">
        <v>0.37</v>
      </c>
      <c r="W3" s="74">
        <v>280</v>
      </c>
      <c r="X3" s="74">
        <v>6.7</v>
      </c>
      <c r="Y3" s="236">
        <v>147.30000000000001</v>
      </c>
      <c r="Z3" s="74">
        <v>0.77</v>
      </c>
      <c r="AA3" s="183">
        <v>69.540000000000006</v>
      </c>
      <c r="AB3" s="183">
        <v>16.95</v>
      </c>
      <c r="AC3" s="233">
        <v>390.46</v>
      </c>
      <c r="AD3" s="233">
        <v>1E-4</v>
      </c>
      <c r="AE3" s="233">
        <v>8.8000000000000005E-3</v>
      </c>
    </row>
    <row r="4" spans="1:31" x14ac:dyDescent="0.3">
      <c r="A4" s="225">
        <v>2</v>
      </c>
      <c r="B4" s="233" t="s">
        <v>829</v>
      </c>
      <c r="C4" s="233" t="s">
        <v>818</v>
      </c>
      <c r="D4" s="234" t="s">
        <v>830</v>
      </c>
      <c r="E4" s="74">
        <v>180</v>
      </c>
      <c r="F4" s="74">
        <f t="shared" si="0"/>
        <v>60</v>
      </c>
      <c r="G4" s="74">
        <v>2005</v>
      </c>
      <c r="H4" s="74">
        <v>400</v>
      </c>
      <c r="I4" s="74">
        <v>17.075409000000001</v>
      </c>
      <c r="J4" s="74">
        <v>74.276492000000005</v>
      </c>
      <c r="K4" s="224" t="s">
        <v>819</v>
      </c>
      <c r="L4" s="233"/>
      <c r="M4" s="74">
        <v>7.61</v>
      </c>
      <c r="N4" s="74">
        <v>86.6</v>
      </c>
      <c r="O4" s="74">
        <v>4.3600000000000003</v>
      </c>
      <c r="P4" s="74">
        <v>1300</v>
      </c>
      <c r="Q4" s="74">
        <v>8.0000000000000004E-4</v>
      </c>
      <c r="R4" s="74">
        <v>650</v>
      </c>
      <c r="S4" s="74">
        <v>0.64</v>
      </c>
      <c r="T4" s="74">
        <v>27.63</v>
      </c>
      <c r="U4" s="74">
        <v>424</v>
      </c>
      <c r="V4" s="235">
        <v>0.64</v>
      </c>
      <c r="W4" s="74">
        <v>330</v>
      </c>
      <c r="X4" s="74">
        <v>6.17</v>
      </c>
      <c r="Y4" s="236">
        <v>124.7</v>
      </c>
      <c r="Z4" s="74">
        <v>0.77</v>
      </c>
      <c r="AA4" s="183">
        <v>94.3</v>
      </c>
      <c r="AB4" s="183">
        <v>2.97</v>
      </c>
      <c r="AC4" s="233">
        <v>329.7</v>
      </c>
      <c r="AD4" s="233">
        <v>2.0000000000000001E-4</v>
      </c>
      <c r="AE4" s="233">
        <v>9.7999999999999997E-3</v>
      </c>
    </row>
    <row r="5" spans="1:31" x14ac:dyDescent="0.3">
      <c r="A5" s="225">
        <v>3</v>
      </c>
      <c r="B5" s="233" t="s">
        <v>831</v>
      </c>
      <c r="C5" s="233" t="s">
        <v>818</v>
      </c>
      <c r="D5" s="234" t="s">
        <v>832</v>
      </c>
      <c r="E5" s="74">
        <v>240</v>
      </c>
      <c r="F5" s="237">
        <f t="shared" si="0"/>
        <v>80</v>
      </c>
      <c r="G5" s="74">
        <v>1999</v>
      </c>
      <c r="H5" s="74">
        <v>5</v>
      </c>
      <c r="I5" s="74">
        <v>17.079387000000001</v>
      </c>
      <c r="J5" s="74">
        <v>74.279251000000002</v>
      </c>
      <c r="K5" s="224" t="s">
        <v>710</v>
      </c>
      <c r="L5" s="233"/>
      <c r="M5" s="74">
        <v>7.35</v>
      </c>
      <c r="N5" s="74">
        <v>98.5</v>
      </c>
      <c r="O5" s="74">
        <v>3.75</v>
      </c>
      <c r="P5" s="74">
        <v>1397</v>
      </c>
      <c r="Q5" s="74">
        <v>6.9999999999999999E-4</v>
      </c>
      <c r="R5" s="74">
        <v>699</v>
      </c>
      <c r="S5" s="74">
        <v>0.7</v>
      </c>
      <c r="T5" s="74">
        <v>27.51</v>
      </c>
      <c r="U5" s="74">
        <v>540</v>
      </c>
      <c r="V5" s="235">
        <v>0.56999999999999995</v>
      </c>
      <c r="W5" s="74">
        <v>490</v>
      </c>
      <c r="X5" s="74">
        <v>10.3</v>
      </c>
      <c r="Y5" s="236">
        <v>53.5</v>
      </c>
      <c r="Z5" s="74">
        <v>0.77</v>
      </c>
      <c r="AA5" s="183">
        <v>91.87</v>
      </c>
      <c r="AB5" s="183">
        <v>4.28</v>
      </c>
      <c r="AC5" s="233">
        <v>448.3</v>
      </c>
      <c r="AD5" s="233">
        <v>2.9999999999999997E-4</v>
      </c>
      <c r="AE5" s="233">
        <v>9.7999999999999997E-3</v>
      </c>
    </row>
    <row r="6" spans="1:31" ht="28.8" x14ac:dyDescent="0.3">
      <c r="A6" s="225">
        <v>4</v>
      </c>
      <c r="B6" s="233" t="s">
        <v>833</v>
      </c>
      <c r="C6" s="233" t="s">
        <v>818</v>
      </c>
      <c r="D6" s="234" t="s">
        <v>834</v>
      </c>
      <c r="E6" s="74">
        <v>250</v>
      </c>
      <c r="F6" s="237">
        <f t="shared" si="0"/>
        <v>83.333333333333329</v>
      </c>
      <c r="G6" s="74">
        <v>2018</v>
      </c>
      <c r="H6" s="74">
        <v>7</v>
      </c>
      <c r="I6" s="74">
        <v>17.076174000000002</v>
      </c>
      <c r="J6" s="74">
        <v>74.271742000000003</v>
      </c>
      <c r="K6" s="224" t="s">
        <v>824</v>
      </c>
      <c r="L6" s="233"/>
      <c r="M6" s="74">
        <v>7.45</v>
      </c>
      <c r="N6" s="74">
        <v>68</v>
      </c>
      <c r="O6" s="74">
        <v>3.65</v>
      </c>
      <c r="P6" s="74">
        <v>1105</v>
      </c>
      <c r="Q6" s="74">
        <v>8.9999999999999998E-4</v>
      </c>
      <c r="R6" s="74">
        <v>552</v>
      </c>
      <c r="S6" s="74">
        <v>0.54</v>
      </c>
      <c r="T6" s="74">
        <v>27.75</v>
      </c>
      <c r="U6" s="74">
        <v>480</v>
      </c>
      <c r="V6" s="235">
        <v>0.84</v>
      </c>
      <c r="W6" s="74">
        <v>370</v>
      </c>
      <c r="X6" s="74">
        <v>6.14</v>
      </c>
      <c r="Y6" s="236">
        <v>88.2</v>
      </c>
      <c r="Z6" s="74">
        <v>0.77</v>
      </c>
      <c r="AA6" s="183">
        <v>69.36</v>
      </c>
      <c r="AB6" s="183">
        <v>2.86</v>
      </c>
      <c r="AC6" s="233">
        <v>410.64</v>
      </c>
      <c r="AD6" s="233">
        <v>2.9999999999999997E-4</v>
      </c>
      <c r="AE6" s="233">
        <v>2.3999999999999998E-3</v>
      </c>
    </row>
    <row r="7" spans="1:31" x14ac:dyDescent="0.3">
      <c r="A7" s="225">
        <v>5</v>
      </c>
      <c r="B7" s="233" t="s">
        <v>835</v>
      </c>
      <c r="C7" s="233" t="s">
        <v>818</v>
      </c>
      <c r="D7" s="234" t="s">
        <v>836</v>
      </c>
      <c r="E7" s="74">
        <v>250</v>
      </c>
      <c r="F7" s="237">
        <f t="shared" si="0"/>
        <v>83.333333333333329</v>
      </c>
      <c r="G7" s="74">
        <v>2021</v>
      </c>
      <c r="H7" s="74">
        <v>350</v>
      </c>
      <c r="I7" s="74">
        <v>17.07676</v>
      </c>
      <c r="J7" s="74">
        <v>74.277319000000006</v>
      </c>
      <c r="K7" s="224" t="s">
        <v>819</v>
      </c>
      <c r="L7" s="233"/>
      <c r="M7" s="74">
        <v>7.31</v>
      </c>
      <c r="N7" s="74">
        <v>97.5</v>
      </c>
      <c r="O7" s="74">
        <v>4.3</v>
      </c>
      <c r="P7" s="74">
        <v>1215</v>
      </c>
      <c r="Q7" s="74">
        <v>8.0000000000000004E-4</v>
      </c>
      <c r="R7" s="74">
        <v>609</v>
      </c>
      <c r="S7" s="74">
        <v>0.6</v>
      </c>
      <c r="T7" s="74">
        <v>27.53</v>
      </c>
      <c r="U7" s="74">
        <v>336</v>
      </c>
      <c r="V7" s="235">
        <v>0.88</v>
      </c>
      <c r="W7" s="74">
        <v>1880</v>
      </c>
      <c r="X7" s="74">
        <v>9.6999999999999993</v>
      </c>
      <c r="Y7" s="236">
        <v>64.03</v>
      </c>
      <c r="Z7" s="74">
        <v>0.77</v>
      </c>
      <c r="AA7" s="183">
        <v>16.91</v>
      </c>
      <c r="AB7" s="183">
        <v>24.51</v>
      </c>
      <c r="AC7" s="233">
        <v>319.08999999999997</v>
      </c>
      <c r="AD7" s="233">
        <v>2.0000000000000001E-4</v>
      </c>
      <c r="AE7" s="233">
        <v>1.6799999999999999E-2</v>
      </c>
    </row>
    <row r="8" spans="1:31" ht="28.8" x14ac:dyDescent="0.3">
      <c r="A8" s="225">
        <v>6</v>
      </c>
      <c r="B8" s="233" t="s">
        <v>837</v>
      </c>
      <c r="C8" s="233" t="s">
        <v>818</v>
      </c>
      <c r="D8" s="234" t="s">
        <v>838</v>
      </c>
      <c r="E8" s="74">
        <v>100</v>
      </c>
      <c r="F8" s="238">
        <f t="shared" si="0"/>
        <v>33.333333333333336</v>
      </c>
      <c r="G8" s="74">
        <v>2002</v>
      </c>
      <c r="H8" s="74">
        <v>2</v>
      </c>
      <c r="I8" s="74">
        <v>17.081810000000001</v>
      </c>
      <c r="J8" s="74">
        <v>74.277913999999996</v>
      </c>
      <c r="K8" s="224" t="s">
        <v>839</v>
      </c>
      <c r="L8" s="233"/>
      <c r="M8" s="74">
        <v>7.77</v>
      </c>
      <c r="N8" s="74">
        <v>83</v>
      </c>
      <c r="O8" s="74">
        <v>4.16</v>
      </c>
      <c r="P8" s="74">
        <v>965</v>
      </c>
      <c r="Q8" s="74">
        <v>1E-3</v>
      </c>
      <c r="R8" s="74">
        <v>482</v>
      </c>
      <c r="S8" s="74">
        <v>0.47</v>
      </c>
      <c r="T8" s="74">
        <v>27.56</v>
      </c>
      <c r="U8" s="74">
        <v>256</v>
      </c>
      <c r="V8" s="235">
        <v>0.5</v>
      </c>
      <c r="W8" s="74">
        <v>1061</v>
      </c>
      <c r="X8" s="74">
        <v>7.1</v>
      </c>
      <c r="Y8" s="236">
        <v>61.76</v>
      </c>
      <c r="Z8" s="74">
        <v>5.1199999999999992</v>
      </c>
      <c r="AA8" s="183">
        <v>101.95</v>
      </c>
      <c r="AB8" s="183">
        <v>2.91</v>
      </c>
      <c r="AC8" s="233">
        <v>154.05000000000001</v>
      </c>
      <c r="AD8" s="233">
        <v>2.0000000000000001E-4</v>
      </c>
      <c r="AE8" s="233">
        <v>3.3999999999999998E-3</v>
      </c>
    </row>
    <row r="9" spans="1:31" x14ac:dyDescent="0.3">
      <c r="A9" s="225">
        <v>7</v>
      </c>
      <c r="B9" s="233" t="s">
        <v>840</v>
      </c>
      <c r="C9" s="233" t="s">
        <v>818</v>
      </c>
      <c r="D9" s="234" t="s">
        <v>841</v>
      </c>
      <c r="E9" s="74">
        <v>150</v>
      </c>
      <c r="F9" s="74">
        <f t="shared" si="0"/>
        <v>50</v>
      </c>
      <c r="G9" s="74">
        <v>2016</v>
      </c>
      <c r="H9" s="74">
        <v>10</v>
      </c>
      <c r="I9" s="74">
        <v>17.083112</v>
      </c>
      <c r="J9" s="74">
        <v>74.276819000000003</v>
      </c>
      <c r="K9" s="224" t="s">
        <v>710</v>
      </c>
      <c r="L9" s="233"/>
      <c r="M9" s="74">
        <v>7.15</v>
      </c>
      <c r="N9" s="74">
        <v>95.9</v>
      </c>
      <c r="O9" s="74">
        <v>3.55</v>
      </c>
      <c r="P9" s="74">
        <v>621</v>
      </c>
      <c r="Q9" s="74">
        <v>1.6000000000000001E-3</v>
      </c>
      <c r="R9" s="74">
        <v>311</v>
      </c>
      <c r="S9" s="74">
        <v>0.3</v>
      </c>
      <c r="T9" s="74">
        <v>27.59</v>
      </c>
      <c r="U9" s="74">
        <v>472</v>
      </c>
      <c r="V9" s="235">
        <v>0.36</v>
      </c>
      <c r="W9" s="74">
        <v>370</v>
      </c>
      <c r="X9" s="74">
        <v>5.14</v>
      </c>
      <c r="Y9" s="236">
        <v>92.6</v>
      </c>
      <c r="Z9" s="74">
        <v>0.77</v>
      </c>
      <c r="AA9" s="183">
        <v>48.86</v>
      </c>
      <c r="AB9" s="183">
        <v>2.86</v>
      </c>
      <c r="AC9" s="233">
        <v>423.14</v>
      </c>
      <c r="AD9" s="233">
        <v>2.9999999999999997E-4</v>
      </c>
      <c r="AE9" s="233">
        <v>9.7999999999999997E-3</v>
      </c>
    </row>
    <row r="10" spans="1:31" x14ac:dyDescent="0.3">
      <c r="A10" s="225"/>
      <c r="B10" s="233"/>
      <c r="C10" s="233"/>
      <c r="D10" s="234"/>
      <c r="E10" s="74"/>
      <c r="F10" s="74"/>
      <c r="G10" s="74"/>
      <c r="H10" s="74"/>
      <c r="I10" s="74"/>
      <c r="J10" s="74"/>
      <c r="K10" s="224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1"/>
      <c r="W10" s="74"/>
      <c r="X10" s="74"/>
      <c r="Y10" s="236"/>
      <c r="Z10" s="233"/>
      <c r="AA10" s="233"/>
      <c r="AB10" s="233"/>
      <c r="AC10" s="233"/>
      <c r="AD10" s="233"/>
      <c r="AE10" s="233"/>
    </row>
    <row r="11" spans="1:31" x14ac:dyDescent="0.3">
      <c r="A11" s="225"/>
      <c r="B11" s="233"/>
      <c r="C11" s="233"/>
      <c r="D11" s="234"/>
      <c r="E11" s="74"/>
      <c r="F11" s="74"/>
      <c r="G11" s="74"/>
      <c r="H11" s="74"/>
      <c r="I11" s="239"/>
      <c r="J11" s="239"/>
      <c r="K11" s="224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1"/>
      <c r="W11" s="74"/>
      <c r="X11" s="74"/>
      <c r="Y11" s="236"/>
      <c r="Z11" s="233"/>
      <c r="AA11" s="233"/>
      <c r="AB11" s="233"/>
      <c r="AC11" s="233"/>
      <c r="AD11" s="233"/>
      <c r="AE11" s="233"/>
    </row>
    <row r="12" spans="1:31" x14ac:dyDescent="0.3">
      <c r="A12" s="225"/>
      <c r="B12" s="226" t="s">
        <v>496</v>
      </c>
      <c r="C12" s="226" t="s">
        <v>842</v>
      </c>
      <c r="D12" s="227" t="s">
        <v>607</v>
      </c>
      <c r="E12" s="228" t="s">
        <v>608</v>
      </c>
      <c r="F12" s="228"/>
      <c r="G12" s="228" t="s">
        <v>610</v>
      </c>
      <c r="H12" s="228" t="s">
        <v>611</v>
      </c>
      <c r="I12" s="228" t="s">
        <v>612</v>
      </c>
      <c r="J12" s="228" t="s">
        <v>7</v>
      </c>
      <c r="K12" s="229" t="s">
        <v>613</v>
      </c>
      <c r="L12" s="226" t="s">
        <v>826</v>
      </c>
      <c r="M12" s="226" t="s">
        <v>614</v>
      </c>
      <c r="N12" s="226" t="s">
        <v>615</v>
      </c>
      <c r="O12" s="226" t="s">
        <v>12</v>
      </c>
      <c r="P12" s="226" t="s">
        <v>617</v>
      </c>
      <c r="Q12" s="226" t="s">
        <v>618</v>
      </c>
      <c r="R12" s="226" t="s">
        <v>476</v>
      </c>
      <c r="S12" s="226" t="s">
        <v>619</v>
      </c>
      <c r="T12" s="226" t="s">
        <v>620</v>
      </c>
      <c r="U12" s="226" t="s">
        <v>621</v>
      </c>
      <c r="V12" s="231" t="s">
        <v>622</v>
      </c>
      <c r="W12" s="228" t="s">
        <v>616</v>
      </c>
      <c r="X12" s="228" t="s">
        <v>408</v>
      </c>
      <c r="Y12" s="226" t="s">
        <v>623</v>
      </c>
      <c r="Z12" s="226" t="s">
        <v>4</v>
      </c>
      <c r="AA12" s="226" t="s">
        <v>407</v>
      </c>
      <c r="AB12" s="226" t="s">
        <v>5</v>
      </c>
      <c r="AC12" s="226" t="s">
        <v>624</v>
      </c>
      <c r="AD12" s="226" t="s">
        <v>15</v>
      </c>
      <c r="AE12" s="226" t="s">
        <v>625</v>
      </c>
    </row>
    <row r="13" spans="1:31" ht="28.8" x14ac:dyDescent="0.3">
      <c r="A13" s="225">
        <v>1</v>
      </c>
      <c r="B13" s="233" t="s">
        <v>843</v>
      </c>
      <c r="C13" s="233" t="s">
        <v>844</v>
      </c>
      <c r="D13" s="234" t="s">
        <v>845</v>
      </c>
      <c r="E13" s="74">
        <v>210</v>
      </c>
      <c r="F13" s="237">
        <f t="shared" ref="F13:F39" si="1">E13/3</f>
        <v>70</v>
      </c>
      <c r="G13" s="74">
        <v>2010</v>
      </c>
      <c r="H13" s="74">
        <v>4</v>
      </c>
      <c r="I13" s="74">
        <v>17.067594</v>
      </c>
      <c r="J13" s="74">
        <v>74.285493000000002</v>
      </c>
      <c r="K13" s="224" t="s">
        <v>846</v>
      </c>
      <c r="L13" s="233"/>
      <c r="M13" s="74">
        <v>7.52</v>
      </c>
      <c r="N13" s="74">
        <v>41.6</v>
      </c>
      <c r="O13" s="74">
        <v>1.23</v>
      </c>
      <c r="P13" s="74">
        <v>2204</v>
      </c>
      <c r="Q13" s="74">
        <v>5.0000000000000001E-4</v>
      </c>
      <c r="R13" s="74">
        <v>1102</v>
      </c>
      <c r="S13" s="74">
        <v>1.1200000000000001</v>
      </c>
      <c r="T13" s="74">
        <v>27.73</v>
      </c>
      <c r="U13" s="74">
        <v>544</v>
      </c>
      <c r="V13" s="235">
        <v>1.29</v>
      </c>
      <c r="W13" s="74">
        <v>162</v>
      </c>
      <c r="X13" s="74">
        <v>4.3</v>
      </c>
      <c r="Y13" s="236">
        <v>63.7</v>
      </c>
      <c r="Z13" s="74">
        <v>10</v>
      </c>
      <c r="AA13" s="183">
        <v>17.88</v>
      </c>
      <c r="AB13" s="183">
        <v>0.34</v>
      </c>
      <c r="AC13" s="233">
        <v>526.12</v>
      </c>
      <c r="AD13" s="233">
        <v>2.9999999999999997E-4</v>
      </c>
      <c r="AE13" s="233">
        <v>6.8999999999999999E-3</v>
      </c>
    </row>
    <row r="14" spans="1:31" x14ac:dyDescent="0.3">
      <c r="A14" s="225">
        <v>2</v>
      </c>
      <c r="B14" s="233" t="s">
        <v>847</v>
      </c>
      <c r="C14" s="233" t="s">
        <v>844</v>
      </c>
      <c r="D14" s="234" t="s">
        <v>848</v>
      </c>
      <c r="E14" s="74">
        <v>150</v>
      </c>
      <c r="F14" s="238">
        <f t="shared" si="1"/>
        <v>50</v>
      </c>
      <c r="G14" s="74">
        <v>2002</v>
      </c>
      <c r="H14" s="74">
        <v>3</v>
      </c>
      <c r="I14" s="74">
        <v>17.065691000000001</v>
      </c>
      <c r="J14" s="74">
        <v>74.285982000000004</v>
      </c>
      <c r="K14" s="224" t="s">
        <v>849</v>
      </c>
      <c r="L14" s="233"/>
      <c r="M14" s="74">
        <v>7.38</v>
      </c>
      <c r="N14" s="74">
        <v>48.2</v>
      </c>
      <c r="O14" s="74">
        <v>1.78</v>
      </c>
      <c r="P14" s="74">
        <v>1381</v>
      </c>
      <c r="Q14" s="74">
        <v>6.9999999999999999E-4</v>
      </c>
      <c r="R14" s="74">
        <v>690</v>
      </c>
      <c r="S14" s="74">
        <v>0.69</v>
      </c>
      <c r="T14" s="74">
        <v>27.78</v>
      </c>
      <c r="U14" s="74">
        <v>377</v>
      </c>
      <c r="V14" s="235">
        <v>0.43</v>
      </c>
      <c r="W14" s="74">
        <v>720</v>
      </c>
      <c r="X14" s="74">
        <v>13.4</v>
      </c>
      <c r="Y14" s="236">
        <v>54.5</v>
      </c>
      <c r="Z14" s="74">
        <v>11.68</v>
      </c>
      <c r="AA14" s="183">
        <v>19.62</v>
      </c>
      <c r="AB14" s="183">
        <v>0</v>
      </c>
      <c r="AC14" s="233">
        <v>357.38</v>
      </c>
      <c r="AD14" s="233">
        <v>2.0000000000000001E-4</v>
      </c>
      <c r="AE14" s="233">
        <v>7.1000000000000004E-3</v>
      </c>
    </row>
    <row r="15" spans="1:31" ht="43.2" x14ac:dyDescent="0.3">
      <c r="A15" s="225">
        <v>3</v>
      </c>
      <c r="B15" s="233" t="s">
        <v>850</v>
      </c>
      <c r="C15" s="233" t="s">
        <v>844</v>
      </c>
      <c r="D15" s="234" t="s">
        <v>851</v>
      </c>
      <c r="E15" s="74">
        <v>100</v>
      </c>
      <c r="F15" s="238">
        <f t="shared" si="1"/>
        <v>33.333333333333336</v>
      </c>
      <c r="G15" s="74">
        <v>2005</v>
      </c>
      <c r="H15" s="74">
        <v>4</v>
      </c>
      <c r="I15" s="74">
        <v>17.065684999999998</v>
      </c>
      <c r="J15" s="74">
        <v>74.282562999999996</v>
      </c>
      <c r="K15" s="224" t="s">
        <v>852</v>
      </c>
      <c r="L15" s="233"/>
      <c r="M15" s="74">
        <v>7.31</v>
      </c>
      <c r="N15" s="74">
        <v>56.2</v>
      </c>
      <c r="O15" s="74">
        <v>1.9</v>
      </c>
      <c r="P15" s="74">
        <v>2286</v>
      </c>
      <c r="Q15" s="74">
        <v>4.0000000000000002E-4</v>
      </c>
      <c r="R15" s="74">
        <v>1142</v>
      </c>
      <c r="S15" s="74">
        <v>1.1599999999999999</v>
      </c>
      <c r="T15" s="74">
        <v>27.58</v>
      </c>
      <c r="U15" s="74">
        <v>415</v>
      </c>
      <c r="V15" s="235">
        <v>0.37</v>
      </c>
      <c r="W15" s="74">
        <v>248</v>
      </c>
      <c r="X15" s="74">
        <v>6.1</v>
      </c>
      <c r="Y15" s="236">
        <v>56.2</v>
      </c>
      <c r="Z15" s="74">
        <v>16.09</v>
      </c>
      <c r="AA15" s="183">
        <v>30.4</v>
      </c>
      <c r="AB15" s="183">
        <v>0</v>
      </c>
      <c r="AC15" s="233">
        <v>384.6</v>
      </c>
      <c r="AD15" s="233">
        <v>2.9999999999999997E-4</v>
      </c>
      <c r="AE15" s="233">
        <v>1.4E-3</v>
      </c>
    </row>
    <row r="16" spans="1:31" x14ac:dyDescent="0.3">
      <c r="A16" s="225">
        <v>4</v>
      </c>
      <c r="B16" s="233" t="s">
        <v>853</v>
      </c>
      <c r="C16" s="233" t="s">
        <v>844</v>
      </c>
      <c r="D16" s="234" t="s">
        <v>128</v>
      </c>
      <c r="E16" s="74">
        <v>180</v>
      </c>
      <c r="F16" s="238">
        <f t="shared" si="1"/>
        <v>60</v>
      </c>
      <c r="G16" s="74" t="s">
        <v>854</v>
      </c>
      <c r="H16" s="74">
        <v>4</v>
      </c>
      <c r="I16" s="74">
        <v>17.067315000000001</v>
      </c>
      <c r="J16" s="74">
        <v>74.285284000000004</v>
      </c>
      <c r="K16" s="224" t="s">
        <v>855</v>
      </c>
      <c r="L16" s="233"/>
      <c r="M16" s="74">
        <v>7.38</v>
      </c>
      <c r="N16" s="74">
        <v>55.5</v>
      </c>
      <c r="O16" s="74">
        <v>1.7</v>
      </c>
      <c r="P16" s="74">
        <v>1118</v>
      </c>
      <c r="Q16" s="74">
        <v>8.9999999999999998E-4</v>
      </c>
      <c r="R16" s="74">
        <v>559</v>
      </c>
      <c r="S16" s="74">
        <v>0.55000000000000004</v>
      </c>
      <c r="T16" s="74">
        <v>27.72</v>
      </c>
      <c r="U16" s="74">
        <v>526</v>
      </c>
      <c r="V16" s="235">
        <v>0.56999999999999995</v>
      </c>
      <c r="W16" s="74">
        <v>317</v>
      </c>
      <c r="X16" s="74">
        <v>8.1</v>
      </c>
      <c r="Y16" s="236">
        <v>69.099999999999994</v>
      </c>
      <c r="Z16" s="74">
        <v>6.29</v>
      </c>
      <c r="AA16" s="183">
        <v>24.1</v>
      </c>
      <c r="AB16" s="183">
        <v>0.3</v>
      </c>
      <c r="AC16" s="233">
        <v>501.9</v>
      </c>
      <c r="AD16" s="233">
        <v>2.9999999999999997E-4</v>
      </c>
      <c r="AE16" s="233">
        <v>1.46E-2</v>
      </c>
    </row>
    <row r="17" spans="1:31" x14ac:dyDescent="0.3">
      <c r="A17" s="225">
        <v>5</v>
      </c>
      <c r="B17" s="233" t="s">
        <v>856</v>
      </c>
      <c r="C17" s="233" t="s">
        <v>844</v>
      </c>
      <c r="D17" s="234" t="s">
        <v>857</v>
      </c>
      <c r="E17" s="74">
        <v>100</v>
      </c>
      <c r="F17" s="238">
        <f t="shared" si="1"/>
        <v>33.333333333333336</v>
      </c>
      <c r="G17" s="74">
        <v>2012</v>
      </c>
      <c r="H17" s="74">
        <v>5</v>
      </c>
      <c r="I17" s="74">
        <v>17.067594</v>
      </c>
      <c r="J17" s="74">
        <v>74.285493000000002</v>
      </c>
      <c r="K17" s="224" t="s">
        <v>710</v>
      </c>
      <c r="L17" s="233"/>
      <c r="M17" s="74">
        <v>7.41</v>
      </c>
      <c r="N17" s="74">
        <v>60.8</v>
      </c>
      <c r="O17" s="74">
        <v>1.55</v>
      </c>
      <c r="P17" s="74">
        <v>891</v>
      </c>
      <c r="Q17" s="74">
        <v>1.1000000000000001E-3</v>
      </c>
      <c r="R17" s="74">
        <v>446</v>
      </c>
      <c r="S17" s="74">
        <v>0.43</v>
      </c>
      <c r="T17" s="74">
        <v>27.69</v>
      </c>
      <c r="U17" s="74">
        <v>348</v>
      </c>
      <c r="V17" s="235">
        <v>0.62</v>
      </c>
      <c r="W17" s="74">
        <v>510</v>
      </c>
      <c r="X17" s="74">
        <v>12.5</v>
      </c>
      <c r="Y17" s="236">
        <v>57.9</v>
      </c>
      <c r="Z17" s="74">
        <v>3.2800000000000002</v>
      </c>
      <c r="AA17" s="183">
        <v>17.04</v>
      </c>
      <c r="AB17" s="183">
        <v>0.03</v>
      </c>
      <c r="AC17" s="233">
        <v>330.96</v>
      </c>
      <c r="AD17" s="233">
        <v>1E-4</v>
      </c>
      <c r="AE17" s="233">
        <v>6.4999999999999997E-3</v>
      </c>
    </row>
    <row r="18" spans="1:31" x14ac:dyDescent="0.3">
      <c r="A18" s="225">
        <v>6</v>
      </c>
      <c r="B18" s="233" t="s">
        <v>858</v>
      </c>
      <c r="C18" s="233" t="s">
        <v>844</v>
      </c>
      <c r="D18" s="234" t="s">
        <v>128</v>
      </c>
      <c r="E18" s="74">
        <v>200</v>
      </c>
      <c r="F18" s="238">
        <f t="shared" si="1"/>
        <v>66.666666666666671</v>
      </c>
      <c r="G18" s="74" t="s">
        <v>854</v>
      </c>
      <c r="H18" s="74">
        <v>4</v>
      </c>
      <c r="I18" s="74">
        <v>17.067620000000002</v>
      </c>
      <c r="J18" s="74">
        <v>74.283850999999999</v>
      </c>
      <c r="K18" s="224" t="s">
        <v>855</v>
      </c>
      <c r="L18" s="233"/>
      <c r="M18" s="74">
        <v>7.47</v>
      </c>
      <c r="N18" s="74">
        <v>53.4</v>
      </c>
      <c r="O18" s="74">
        <v>1.55</v>
      </c>
      <c r="P18" s="74">
        <v>1418</v>
      </c>
      <c r="Q18" s="74">
        <v>1.1000000000000001E-3</v>
      </c>
      <c r="R18" s="74">
        <v>709</v>
      </c>
      <c r="S18" s="74">
        <v>0.71</v>
      </c>
      <c r="T18" s="74">
        <v>27.8</v>
      </c>
      <c r="U18" s="74">
        <v>372</v>
      </c>
      <c r="V18" s="235">
        <v>0.48</v>
      </c>
      <c r="W18" s="74">
        <v>346</v>
      </c>
      <c r="X18" s="74">
        <v>3.91</v>
      </c>
      <c r="Y18" s="236">
        <v>112.4</v>
      </c>
      <c r="Z18" s="74">
        <v>8.23</v>
      </c>
      <c r="AA18" s="183">
        <v>47.31</v>
      </c>
      <c r="AB18" s="183">
        <v>9.7799999999999994</v>
      </c>
      <c r="AC18" s="233">
        <v>324.69</v>
      </c>
      <c r="AD18" s="233">
        <v>2.0000000000000001E-4</v>
      </c>
      <c r="AE18" s="233">
        <v>7.4000000000000003E-3</v>
      </c>
    </row>
    <row r="19" spans="1:31" x14ac:dyDescent="0.3">
      <c r="A19" s="225">
        <v>7</v>
      </c>
      <c r="B19" s="233" t="s">
        <v>859</v>
      </c>
      <c r="C19" s="233" t="s">
        <v>844</v>
      </c>
      <c r="D19" s="234" t="s">
        <v>128</v>
      </c>
      <c r="E19" s="74">
        <v>210</v>
      </c>
      <c r="F19" s="237">
        <f t="shared" si="1"/>
        <v>70</v>
      </c>
      <c r="G19" s="74" t="s">
        <v>854</v>
      </c>
      <c r="H19" s="74">
        <v>5</v>
      </c>
      <c r="I19" s="74">
        <v>17.068494999999999</v>
      </c>
      <c r="J19" s="74">
        <v>74.283749</v>
      </c>
      <c r="K19" s="224" t="s">
        <v>855</v>
      </c>
      <c r="L19" s="233"/>
      <c r="M19" s="74">
        <v>7.36</v>
      </c>
      <c r="N19" s="74">
        <v>60</v>
      </c>
      <c r="O19" s="74">
        <v>1.22</v>
      </c>
      <c r="P19" s="74">
        <v>1469</v>
      </c>
      <c r="Q19" s="74">
        <v>1.1000000000000001E-3</v>
      </c>
      <c r="R19" s="74">
        <v>734</v>
      </c>
      <c r="S19" s="74">
        <v>0.73</v>
      </c>
      <c r="T19" s="74">
        <v>27.6</v>
      </c>
      <c r="U19" s="74">
        <v>780</v>
      </c>
      <c r="V19" s="235">
        <v>0.28000000000000003</v>
      </c>
      <c r="W19" s="74">
        <v>247</v>
      </c>
      <c r="X19" s="74">
        <v>4.7</v>
      </c>
      <c r="Y19" s="236">
        <v>42.6</v>
      </c>
      <c r="Z19" s="74">
        <v>7.82</v>
      </c>
      <c r="AA19" s="183">
        <v>23.01</v>
      </c>
      <c r="AB19" s="183">
        <v>1.18</v>
      </c>
      <c r="AC19" s="233">
        <v>756.99</v>
      </c>
      <c r="AD19" s="233">
        <v>2.0000000000000001E-4</v>
      </c>
      <c r="AE19" s="233">
        <v>5.4999999999999997E-3</v>
      </c>
    </row>
    <row r="20" spans="1:31" x14ac:dyDescent="0.3">
      <c r="A20" s="225">
        <v>8</v>
      </c>
      <c r="B20" s="233" t="s">
        <v>860</v>
      </c>
      <c r="C20" s="233" t="s">
        <v>844</v>
      </c>
      <c r="D20" s="234" t="s">
        <v>128</v>
      </c>
      <c r="E20" s="74">
        <v>150</v>
      </c>
      <c r="F20" s="238">
        <f t="shared" si="1"/>
        <v>50</v>
      </c>
      <c r="G20" s="74">
        <f>-I20</f>
        <v>-17.07039</v>
      </c>
      <c r="H20" s="74">
        <v>5</v>
      </c>
      <c r="I20" s="74">
        <v>17.07039</v>
      </c>
      <c r="J20" s="74">
        <v>74.283557999999999</v>
      </c>
      <c r="K20" s="224" t="s">
        <v>855</v>
      </c>
      <c r="L20" s="233"/>
      <c r="M20" s="74">
        <v>7.36</v>
      </c>
      <c r="N20" s="74">
        <v>61.6</v>
      </c>
      <c r="O20" s="74">
        <v>1.47</v>
      </c>
      <c r="P20" s="74">
        <v>1562</v>
      </c>
      <c r="Q20" s="74">
        <v>1.1000000000000001E-3</v>
      </c>
      <c r="R20" s="74">
        <v>781</v>
      </c>
      <c r="S20" s="74">
        <v>0.78</v>
      </c>
      <c r="T20" s="74">
        <v>27.6</v>
      </c>
      <c r="U20" s="74">
        <v>255</v>
      </c>
      <c r="V20" s="235">
        <v>0.87</v>
      </c>
      <c r="W20" s="74">
        <v>260</v>
      </c>
      <c r="X20" s="74">
        <v>5.8</v>
      </c>
      <c r="Y20" s="236">
        <v>89.6</v>
      </c>
      <c r="Z20" s="74">
        <v>9.74</v>
      </c>
      <c r="AA20" s="183">
        <v>60.56</v>
      </c>
      <c r="AB20" s="183">
        <v>0.34</v>
      </c>
      <c r="AC20" s="233">
        <v>194.44</v>
      </c>
      <c r="AD20" s="233">
        <v>4.0000000000000002E-4</v>
      </c>
      <c r="AE20" s="233">
        <v>1.38E-2</v>
      </c>
    </row>
    <row r="21" spans="1:31" x14ac:dyDescent="0.3">
      <c r="A21" s="225">
        <v>9</v>
      </c>
      <c r="B21" s="233" t="s">
        <v>861</v>
      </c>
      <c r="C21" s="233" t="s">
        <v>844</v>
      </c>
      <c r="D21" s="234" t="s">
        <v>128</v>
      </c>
      <c r="E21" s="74">
        <v>150</v>
      </c>
      <c r="F21" s="238">
        <f t="shared" si="1"/>
        <v>50</v>
      </c>
      <c r="G21" s="74" t="s">
        <v>854</v>
      </c>
      <c r="H21" s="74">
        <v>7</v>
      </c>
      <c r="I21" s="74">
        <v>17.072485</v>
      </c>
      <c r="J21" s="74">
        <v>74.546755000000005</v>
      </c>
      <c r="K21" s="224" t="s">
        <v>855</v>
      </c>
      <c r="L21" s="233"/>
      <c r="M21" s="74">
        <v>7.8</v>
      </c>
      <c r="N21" s="74">
        <v>25.2</v>
      </c>
      <c r="O21" s="74">
        <v>0.9</v>
      </c>
      <c r="P21" s="74">
        <v>675</v>
      </c>
      <c r="Q21" s="74">
        <v>1.1000000000000001E-3</v>
      </c>
      <c r="R21" s="74">
        <v>337</v>
      </c>
      <c r="S21" s="74">
        <v>0.33</v>
      </c>
      <c r="T21" s="74">
        <v>27.58</v>
      </c>
      <c r="U21" s="74">
        <v>420</v>
      </c>
      <c r="V21" s="235">
        <v>1.9</v>
      </c>
      <c r="W21" s="74">
        <v>580</v>
      </c>
      <c r="X21" s="74">
        <v>6.5</v>
      </c>
      <c r="Y21" s="236">
        <v>53.4</v>
      </c>
      <c r="Z21" s="74">
        <v>2.21</v>
      </c>
      <c r="AA21" s="183">
        <v>83.15</v>
      </c>
      <c r="AB21" s="183">
        <v>7.51</v>
      </c>
      <c r="AC21" s="233">
        <v>336.85</v>
      </c>
      <c r="AD21" s="233">
        <v>4.0000000000000002E-4</v>
      </c>
      <c r="AE21" s="233">
        <v>1.0699999999999999E-2</v>
      </c>
    </row>
    <row r="22" spans="1:31" x14ac:dyDescent="0.3">
      <c r="A22" s="225">
        <v>10</v>
      </c>
      <c r="B22" s="233" t="s">
        <v>862</v>
      </c>
      <c r="C22" s="233" t="s">
        <v>844</v>
      </c>
      <c r="D22" s="234" t="s">
        <v>128</v>
      </c>
      <c r="E22" s="74">
        <v>200</v>
      </c>
      <c r="F22" s="238">
        <f t="shared" si="1"/>
        <v>66.666666666666671</v>
      </c>
      <c r="G22" s="74" t="s">
        <v>854</v>
      </c>
      <c r="H22" s="74">
        <v>6</v>
      </c>
      <c r="I22" s="74">
        <v>17.072185999999999</v>
      </c>
      <c r="J22" s="74">
        <v>74.347139999999996</v>
      </c>
      <c r="K22" s="224" t="s">
        <v>855</v>
      </c>
      <c r="L22" s="233"/>
      <c r="M22" s="74">
        <v>7.62</v>
      </c>
      <c r="N22" s="74">
        <v>50.7</v>
      </c>
      <c r="O22" s="74">
        <v>1.42</v>
      </c>
      <c r="P22" s="74">
        <v>965</v>
      </c>
      <c r="Q22" s="74">
        <v>1.1000000000000001E-3</v>
      </c>
      <c r="R22" s="74">
        <v>482</v>
      </c>
      <c r="S22" s="74">
        <v>0.47</v>
      </c>
      <c r="T22" s="74">
        <v>27.67</v>
      </c>
      <c r="U22" s="74">
        <v>380</v>
      </c>
      <c r="V22" s="235">
        <v>0.49</v>
      </c>
      <c r="W22" s="74">
        <v>680</v>
      </c>
      <c r="X22" s="74">
        <v>7.2</v>
      </c>
      <c r="Y22" s="236">
        <v>67.400000000000006</v>
      </c>
      <c r="Z22" s="74">
        <v>6.73</v>
      </c>
      <c r="AA22" s="183">
        <v>78.62</v>
      </c>
      <c r="AB22" s="183">
        <v>8.4</v>
      </c>
      <c r="AC22" s="233">
        <v>301.38</v>
      </c>
      <c r="AD22" s="233">
        <v>2.0000000000000001E-4</v>
      </c>
      <c r="AE22" s="233">
        <v>7.1000000000000004E-3</v>
      </c>
    </row>
    <row r="23" spans="1:31" x14ac:dyDescent="0.3">
      <c r="A23" s="225">
        <v>11</v>
      </c>
      <c r="B23" s="233" t="s">
        <v>863</v>
      </c>
      <c r="C23" s="233" t="s">
        <v>844</v>
      </c>
      <c r="D23" s="234" t="s">
        <v>864</v>
      </c>
      <c r="E23" s="74">
        <v>100</v>
      </c>
      <c r="F23" s="238">
        <f t="shared" si="1"/>
        <v>33.333333333333336</v>
      </c>
      <c r="G23" s="74">
        <v>2016</v>
      </c>
      <c r="H23" s="74">
        <v>5</v>
      </c>
      <c r="I23" s="74">
        <v>17.073314</v>
      </c>
      <c r="J23" s="74">
        <v>74.344975000000005</v>
      </c>
      <c r="K23" s="224" t="s">
        <v>855</v>
      </c>
      <c r="L23" s="233"/>
      <c r="M23" s="74">
        <v>7.31</v>
      </c>
      <c r="N23" s="74">
        <v>61</v>
      </c>
      <c r="O23" s="74">
        <v>1.36</v>
      </c>
      <c r="P23" s="74">
        <v>1311</v>
      </c>
      <c r="Q23" s="74">
        <v>1.1000000000000001E-3</v>
      </c>
      <c r="R23" s="74">
        <v>655</v>
      </c>
      <c r="S23" s="74">
        <v>0.65</v>
      </c>
      <c r="T23" s="74">
        <v>27.62</v>
      </c>
      <c r="U23" s="74">
        <v>320</v>
      </c>
      <c r="V23" s="235">
        <v>0.67</v>
      </c>
      <c r="W23" s="74">
        <v>364</v>
      </c>
      <c r="X23" s="74">
        <v>6.4</v>
      </c>
      <c r="Y23" s="236">
        <v>52.3</v>
      </c>
      <c r="Z23" s="74">
        <v>12.6</v>
      </c>
      <c r="AA23" s="183">
        <v>96.15</v>
      </c>
      <c r="AB23" s="183">
        <v>1.91</v>
      </c>
      <c r="AC23" s="233">
        <v>333.76</v>
      </c>
      <c r="AD23" s="233">
        <v>2.9999999999999997E-4</v>
      </c>
      <c r="AE23" s="233">
        <v>1.5100000000000001E-2</v>
      </c>
    </row>
    <row r="24" spans="1:31" ht="43.2" x14ac:dyDescent="0.3">
      <c r="A24" s="225">
        <v>12</v>
      </c>
      <c r="B24" s="233" t="s">
        <v>865</v>
      </c>
      <c r="C24" s="233" t="s">
        <v>844</v>
      </c>
      <c r="D24" s="234" t="s">
        <v>866</v>
      </c>
      <c r="E24" s="74">
        <v>150</v>
      </c>
      <c r="F24" s="238">
        <f t="shared" si="1"/>
        <v>50</v>
      </c>
      <c r="G24" s="74">
        <v>2017</v>
      </c>
      <c r="H24" s="74">
        <v>10</v>
      </c>
      <c r="I24" s="74">
        <v>17.073094999999999</v>
      </c>
      <c r="J24" s="74">
        <v>74.343436999999994</v>
      </c>
      <c r="K24" s="224" t="s">
        <v>852</v>
      </c>
      <c r="L24" s="233"/>
      <c r="M24" s="74">
        <v>7.43</v>
      </c>
      <c r="N24" s="74">
        <v>59</v>
      </c>
      <c r="O24" s="74">
        <v>1.41</v>
      </c>
      <c r="P24" s="74">
        <v>1382</v>
      </c>
      <c r="Q24" s="74">
        <v>1.1000000000000001E-3</v>
      </c>
      <c r="R24" s="74">
        <v>691</v>
      </c>
      <c r="S24" s="74">
        <v>0.59</v>
      </c>
      <c r="T24" s="74">
        <v>27.63</v>
      </c>
      <c r="U24" s="74">
        <v>336</v>
      </c>
      <c r="V24" s="235">
        <v>0.57999999999999996</v>
      </c>
      <c r="W24" s="74">
        <v>267</v>
      </c>
      <c r="X24" s="74">
        <v>6.1</v>
      </c>
      <c r="Y24" s="236">
        <v>45.9</v>
      </c>
      <c r="Z24" s="74">
        <v>11.959999999999999</v>
      </c>
      <c r="AA24" s="183">
        <v>85.85</v>
      </c>
      <c r="AB24" s="183">
        <v>0.2</v>
      </c>
      <c r="AC24" s="233">
        <v>245.12</v>
      </c>
      <c r="AD24" s="233">
        <v>2.0000000000000001E-4</v>
      </c>
      <c r="AE24" s="233">
        <v>9.7999999999999997E-3</v>
      </c>
    </row>
    <row r="25" spans="1:31" x14ac:dyDescent="0.3">
      <c r="A25" s="225">
        <v>13</v>
      </c>
      <c r="B25" s="233" t="s">
        <v>867</v>
      </c>
      <c r="C25" s="233" t="s">
        <v>844</v>
      </c>
      <c r="D25" s="234" t="s">
        <v>868</v>
      </c>
      <c r="E25" s="74">
        <v>150</v>
      </c>
      <c r="F25" s="238">
        <f t="shared" si="1"/>
        <v>50</v>
      </c>
      <c r="G25" s="74" t="s">
        <v>854</v>
      </c>
      <c r="H25" s="74">
        <v>4</v>
      </c>
      <c r="I25" s="74">
        <v>17.062246999999999</v>
      </c>
      <c r="J25" s="74">
        <v>74.349031999999994</v>
      </c>
      <c r="K25" s="224" t="s">
        <v>855</v>
      </c>
      <c r="L25" s="233"/>
      <c r="M25" s="74">
        <v>7.55</v>
      </c>
      <c r="N25" s="74">
        <v>79.900000000000006</v>
      </c>
      <c r="O25" s="74">
        <v>4.22</v>
      </c>
      <c r="P25" s="74">
        <v>590</v>
      </c>
      <c r="Q25" s="74">
        <v>1.1000000000000001E-3</v>
      </c>
      <c r="R25" s="74">
        <v>295</v>
      </c>
      <c r="S25" s="74">
        <v>0.28000000000000003</v>
      </c>
      <c r="T25" s="74">
        <v>27.88</v>
      </c>
      <c r="U25" s="74">
        <v>420</v>
      </c>
      <c r="V25" s="235">
        <v>0.85</v>
      </c>
      <c r="W25" s="74">
        <v>218</v>
      </c>
      <c r="X25" s="74">
        <v>5.9</v>
      </c>
      <c r="Y25" s="236">
        <v>72.3</v>
      </c>
      <c r="Z25" s="74">
        <v>1.1100000000000001</v>
      </c>
      <c r="AA25" s="183">
        <v>86.24</v>
      </c>
      <c r="AB25" s="183">
        <v>0.05</v>
      </c>
      <c r="AC25" s="233">
        <v>152.01</v>
      </c>
      <c r="AD25" s="233">
        <v>2.9999999999999997E-4</v>
      </c>
      <c r="AE25" s="233">
        <v>2.3999999999999998E-3</v>
      </c>
    </row>
    <row r="26" spans="1:31" x14ac:dyDescent="0.3">
      <c r="A26" s="225">
        <v>14</v>
      </c>
      <c r="B26" s="233" t="s">
        <v>869</v>
      </c>
      <c r="C26" s="233" t="s">
        <v>844</v>
      </c>
      <c r="D26" s="234" t="s">
        <v>870</v>
      </c>
      <c r="E26" s="74">
        <v>100</v>
      </c>
      <c r="F26" s="238">
        <f t="shared" si="1"/>
        <v>33.333333333333336</v>
      </c>
      <c r="G26" s="74">
        <v>2002</v>
      </c>
      <c r="H26" s="74">
        <v>3</v>
      </c>
      <c r="I26" s="74">
        <v>17.058875</v>
      </c>
      <c r="J26" s="74">
        <v>74.351375000000004</v>
      </c>
      <c r="K26" s="224" t="s">
        <v>710</v>
      </c>
      <c r="L26" s="233"/>
      <c r="M26" s="74">
        <v>7.21</v>
      </c>
      <c r="N26" s="74">
        <v>71.2</v>
      </c>
      <c r="O26" s="74">
        <v>1.49</v>
      </c>
      <c r="P26" s="74">
        <v>886</v>
      </c>
      <c r="Q26" s="74">
        <v>1.1000000000000001E-3</v>
      </c>
      <c r="R26" s="74">
        <v>443</v>
      </c>
      <c r="S26" s="74">
        <v>0.43</v>
      </c>
      <c r="T26" s="74">
        <v>27.74</v>
      </c>
      <c r="U26" s="74">
        <v>336</v>
      </c>
      <c r="V26" s="235">
        <v>1.37</v>
      </c>
      <c r="W26" s="74">
        <v>1120</v>
      </c>
      <c r="X26" s="74">
        <v>21</v>
      </c>
      <c r="Y26" s="236">
        <v>57.86</v>
      </c>
      <c r="Z26" s="74">
        <v>1.1100000000000001</v>
      </c>
      <c r="AA26" s="183">
        <v>90.88</v>
      </c>
      <c r="AB26" s="183">
        <v>0.04</v>
      </c>
      <c r="AC26" s="233">
        <v>379.82</v>
      </c>
      <c r="AD26" s="233">
        <v>1E-4</v>
      </c>
      <c r="AE26" s="233">
        <v>3.8999999999999998E-3</v>
      </c>
    </row>
    <row r="27" spans="1:31" x14ac:dyDescent="0.3">
      <c r="A27" s="225">
        <v>15</v>
      </c>
      <c r="B27" s="233" t="s">
        <v>871</v>
      </c>
      <c r="C27" s="233" t="s">
        <v>844</v>
      </c>
      <c r="D27" s="234" t="s">
        <v>872</v>
      </c>
      <c r="E27" s="74">
        <v>100</v>
      </c>
      <c r="F27" s="238">
        <f t="shared" si="1"/>
        <v>33.333333333333336</v>
      </c>
      <c r="G27" s="74">
        <v>2002</v>
      </c>
      <c r="H27" s="74">
        <v>4</v>
      </c>
      <c r="I27" s="74">
        <v>17.058875</v>
      </c>
      <c r="J27" s="74">
        <v>74.351375000000004</v>
      </c>
      <c r="K27" s="224" t="s">
        <v>710</v>
      </c>
      <c r="L27" s="233"/>
      <c r="M27" s="74">
        <v>7.15</v>
      </c>
      <c r="N27" s="74">
        <v>90.1</v>
      </c>
      <c r="O27" s="74">
        <v>4.05</v>
      </c>
      <c r="P27" s="74">
        <v>1170</v>
      </c>
      <c r="Q27" s="74">
        <v>1.1000000000000001E-3</v>
      </c>
      <c r="R27" s="74">
        <v>584</v>
      </c>
      <c r="S27" s="74">
        <v>0.57999999999999996</v>
      </c>
      <c r="T27" s="74">
        <v>27.74</v>
      </c>
      <c r="U27" s="74">
        <v>256</v>
      </c>
      <c r="V27" s="235">
        <v>0.73</v>
      </c>
      <c r="W27" s="74">
        <v>316</v>
      </c>
      <c r="X27" s="74">
        <v>6.1</v>
      </c>
      <c r="Y27" s="236">
        <v>112.8</v>
      </c>
      <c r="Z27" s="74">
        <v>1.27</v>
      </c>
      <c r="AA27" s="183">
        <v>103.99</v>
      </c>
      <c r="AB27" s="183">
        <v>0.33</v>
      </c>
      <c r="AC27" s="233">
        <v>152.01</v>
      </c>
      <c r="AD27" s="233">
        <v>2.0000000000000001E-4</v>
      </c>
      <c r="AE27" s="233">
        <v>3.3E-3</v>
      </c>
    </row>
    <row r="28" spans="1:31" x14ac:dyDescent="0.3">
      <c r="A28" s="225">
        <v>16</v>
      </c>
      <c r="B28" s="233" t="s">
        <v>873</v>
      </c>
      <c r="C28" s="233" t="s">
        <v>844</v>
      </c>
      <c r="D28" s="234" t="s">
        <v>874</v>
      </c>
      <c r="E28" s="74">
        <v>100</v>
      </c>
      <c r="F28" s="238">
        <f t="shared" si="1"/>
        <v>33.333333333333336</v>
      </c>
      <c r="G28" s="74">
        <v>2004</v>
      </c>
      <c r="H28" s="74">
        <v>6</v>
      </c>
      <c r="I28" s="74">
        <v>17.062639000000001</v>
      </c>
      <c r="J28" s="74">
        <v>74.352609999999999</v>
      </c>
      <c r="K28" s="224" t="s">
        <v>710</v>
      </c>
      <c r="L28" s="233"/>
      <c r="M28" s="75">
        <v>7.1</v>
      </c>
      <c r="N28" s="74">
        <v>80.599999999999994</v>
      </c>
      <c r="O28" s="74">
        <v>2.97</v>
      </c>
      <c r="P28" s="74">
        <v>1180</v>
      </c>
      <c r="Q28" s="74">
        <v>1.1000000000000001E-3</v>
      </c>
      <c r="R28" s="74">
        <v>590</v>
      </c>
      <c r="S28" s="74">
        <v>0.57999999999999996</v>
      </c>
      <c r="T28" s="74">
        <v>27.71</v>
      </c>
      <c r="U28" s="74">
        <v>472</v>
      </c>
      <c r="V28" s="235">
        <v>0.35</v>
      </c>
      <c r="W28" s="74">
        <v>736</v>
      </c>
      <c r="X28" s="74">
        <v>9.1999999999999993</v>
      </c>
      <c r="Y28" s="236">
        <v>110.4</v>
      </c>
      <c r="Z28" s="74">
        <v>3.01</v>
      </c>
      <c r="AA28" s="183">
        <v>92.18</v>
      </c>
      <c r="AB28" s="183">
        <v>0.45</v>
      </c>
      <c r="AC28" s="233">
        <v>379.82</v>
      </c>
      <c r="AD28" s="233">
        <v>4.0000000000000002E-4</v>
      </c>
      <c r="AE28" s="233">
        <v>1.6999999999999999E-3</v>
      </c>
    </row>
    <row r="29" spans="1:31" x14ac:dyDescent="0.3">
      <c r="A29" s="225">
        <v>17</v>
      </c>
      <c r="B29" s="233" t="s">
        <v>875</v>
      </c>
      <c r="C29" s="233" t="s">
        <v>844</v>
      </c>
      <c r="D29" s="234" t="s">
        <v>876</v>
      </c>
      <c r="E29" s="74">
        <v>120</v>
      </c>
      <c r="F29" s="238">
        <f t="shared" si="1"/>
        <v>40</v>
      </c>
      <c r="G29" s="74">
        <v>2010</v>
      </c>
      <c r="H29" s="74">
        <v>5</v>
      </c>
      <c r="I29" s="74">
        <v>17.069742000000002</v>
      </c>
      <c r="J29" s="74">
        <v>74.362836999999999</v>
      </c>
      <c r="K29" s="224" t="s">
        <v>855</v>
      </c>
      <c r="L29" s="233"/>
      <c r="M29" s="74">
        <v>7.1</v>
      </c>
      <c r="N29" s="75">
        <v>96.3</v>
      </c>
      <c r="O29" s="75">
        <v>4.0999999999999996</v>
      </c>
      <c r="P29" s="74">
        <v>1037</v>
      </c>
      <c r="Q29" s="74">
        <v>1.1000000000000001E-3</v>
      </c>
      <c r="R29" s="74">
        <v>519</v>
      </c>
      <c r="S29" s="74">
        <v>0.51</v>
      </c>
      <c r="T29" s="74">
        <v>27.71</v>
      </c>
      <c r="U29" s="74">
        <v>424</v>
      </c>
      <c r="V29" s="235">
        <v>0.24</v>
      </c>
      <c r="W29" s="74">
        <v>221</v>
      </c>
      <c r="X29" s="74">
        <v>5.4</v>
      </c>
      <c r="Y29" s="236">
        <v>65.2</v>
      </c>
      <c r="Z29" s="74">
        <v>1.1100000000000001</v>
      </c>
      <c r="AA29" s="183">
        <v>99.63</v>
      </c>
      <c r="AB29" s="183">
        <v>7.0000000000000007E-2</v>
      </c>
      <c r="AC29" s="233">
        <v>324.37</v>
      </c>
      <c r="AD29" s="233">
        <v>2.9999999999999997E-4</v>
      </c>
      <c r="AE29" s="233">
        <v>2.5999999999999999E-3</v>
      </c>
    </row>
    <row r="30" spans="1:31" ht="28.8" x14ac:dyDescent="0.3">
      <c r="A30" s="225">
        <v>18</v>
      </c>
      <c r="B30" s="233" t="s">
        <v>877</v>
      </c>
      <c r="C30" s="233" t="s">
        <v>844</v>
      </c>
      <c r="D30" s="234" t="s">
        <v>878</v>
      </c>
      <c r="E30" s="74">
        <v>100</v>
      </c>
      <c r="F30" s="238">
        <f t="shared" si="1"/>
        <v>33.333333333333336</v>
      </c>
      <c r="G30" s="74">
        <v>1995</v>
      </c>
      <c r="H30" s="74">
        <v>7</v>
      </c>
      <c r="I30" s="74">
        <v>17.131968000000001</v>
      </c>
      <c r="J30" s="74">
        <v>74.249001000000007</v>
      </c>
      <c r="K30" s="224" t="s">
        <v>879</v>
      </c>
      <c r="L30" s="233"/>
      <c r="M30" s="74">
        <v>7.57</v>
      </c>
      <c r="N30" s="74">
        <v>62.5</v>
      </c>
      <c r="O30" s="74">
        <v>1.62</v>
      </c>
      <c r="P30" s="74">
        <v>890</v>
      </c>
      <c r="Q30" s="74">
        <v>1.1000000000000001E-3</v>
      </c>
      <c r="R30" s="74">
        <v>445</v>
      </c>
      <c r="S30" s="74">
        <v>0.43</v>
      </c>
      <c r="T30" s="74">
        <v>27.62</v>
      </c>
      <c r="U30" s="74">
        <v>568</v>
      </c>
      <c r="V30" s="235">
        <v>0.65</v>
      </c>
      <c r="W30" s="74">
        <v>270</v>
      </c>
      <c r="X30" s="74">
        <v>3.3</v>
      </c>
      <c r="Y30" s="236">
        <v>184.7</v>
      </c>
      <c r="Z30" s="74">
        <v>1.1100000000000001</v>
      </c>
      <c r="AA30" s="183">
        <v>99.62</v>
      </c>
      <c r="AB30" s="183">
        <v>0.04</v>
      </c>
      <c r="AC30" s="233">
        <v>468.38</v>
      </c>
      <c r="AD30" s="233">
        <v>0</v>
      </c>
      <c r="AE30" s="233">
        <v>2.2000000000000001E-3</v>
      </c>
    </row>
    <row r="31" spans="1:31" x14ac:dyDescent="0.3">
      <c r="A31" s="225">
        <v>19</v>
      </c>
      <c r="B31" s="233" t="s">
        <v>880</v>
      </c>
      <c r="C31" s="233" t="s">
        <v>844</v>
      </c>
      <c r="D31" s="234" t="s">
        <v>881</v>
      </c>
      <c r="E31" s="74">
        <v>70</v>
      </c>
      <c r="F31" s="238">
        <f t="shared" si="1"/>
        <v>23.333333333333332</v>
      </c>
      <c r="G31" s="74">
        <v>1998</v>
      </c>
      <c r="H31" s="74">
        <v>3</v>
      </c>
      <c r="I31" s="74">
        <v>17.127122</v>
      </c>
      <c r="J31" s="74">
        <v>74.246525000000005</v>
      </c>
      <c r="K31" s="224" t="s">
        <v>855</v>
      </c>
      <c r="L31" s="233"/>
      <c r="M31" s="74">
        <v>7.71</v>
      </c>
      <c r="N31" s="74">
        <v>56.7</v>
      </c>
      <c r="O31" s="74">
        <v>1.75</v>
      </c>
      <c r="P31" s="74">
        <v>1062</v>
      </c>
      <c r="Q31" s="74">
        <v>1.1000000000000001E-3</v>
      </c>
      <c r="R31" s="74">
        <v>531</v>
      </c>
      <c r="S31" s="74">
        <v>0.52</v>
      </c>
      <c r="T31" s="74">
        <v>27.71</v>
      </c>
      <c r="U31" s="74">
        <v>440</v>
      </c>
      <c r="V31" s="235">
        <v>0.97</v>
      </c>
      <c r="W31" s="74">
        <v>649</v>
      </c>
      <c r="X31" s="74">
        <v>4.9000000000000004</v>
      </c>
      <c r="Y31" s="236">
        <v>117.8</v>
      </c>
      <c r="Z31" s="74">
        <v>2.4300000000000002</v>
      </c>
      <c r="AA31" s="183">
        <v>106.3</v>
      </c>
      <c r="AB31" s="183">
        <v>6.16</v>
      </c>
      <c r="AC31" s="233">
        <v>333.7</v>
      </c>
      <c r="AD31" s="233">
        <v>1E-4</v>
      </c>
      <c r="AE31" s="233">
        <v>8.6999999999999994E-3</v>
      </c>
    </row>
    <row r="32" spans="1:31" x14ac:dyDescent="0.3">
      <c r="A32" s="225">
        <v>20</v>
      </c>
      <c r="B32" s="233" t="s">
        <v>882</v>
      </c>
      <c r="C32" s="233" t="s">
        <v>844</v>
      </c>
      <c r="D32" s="234" t="s">
        <v>883</v>
      </c>
      <c r="E32" s="74">
        <v>110</v>
      </c>
      <c r="F32" s="238">
        <f t="shared" si="1"/>
        <v>36.666666666666664</v>
      </c>
      <c r="G32" s="74">
        <v>2012</v>
      </c>
      <c r="H32" s="74">
        <v>4</v>
      </c>
      <c r="I32" s="74">
        <v>17.127122</v>
      </c>
      <c r="J32" s="74">
        <v>74.246525000000005</v>
      </c>
      <c r="K32" s="224" t="s">
        <v>884</v>
      </c>
      <c r="L32" s="233"/>
      <c r="M32" s="74">
        <v>7.31</v>
      </c>
      <c r="N32" s="74">
        <v>69.5</v>
      </c>
      <c r="O32" s="74">
        <v>1.5</v>
      </c>
      <c r="P32" s="74">
        <v>1525</v>
      </c>
      <c r="Q32" s="74">
        <v>1.1000000000000001E-3</v>
      </c>
      <c r="R32" s="74">
        <v>762</v>
      </c>
      <c r="S32" s="74">
        <v>0.76</v>
      </c>
      <c r="T32" s="74">
        <v>27.63</v>
      </c>
      <c r="U32" s="74">
        <v>372</v>
      </c>
      <c r="V32" s="235">
        <v>1.21</v>
      </c>
      <c r="W32" s="74">
        <v>1044</v>
      </c>
      <c r="X32" s="74">
        <v>26.9</v>
      </c>
      <c r="Y32" s="236">
        <v>78.400000000000006</v>
      </c>
      <c r="Z32" s="74">
        <v>4.0600000000000005</v>
      </c>
      <c r="AA32" s="183">
        <v>100.28</v>
      </c>
      <c r="AB32" s="183">
        <v>8.0399999999999991</v>
      </c>
      <c r="AC32" s="233">
        <v>271.72000000000003</v>
      </c>
      <c r="AD32" s="233">
        <v>2.9999999999999997E-4</v>
      </c>
      <c r="AE32" s="233">
        <v>9.2999999999999992E-3</v>
      </c>
    </row>
    <row r="33" spans="1:31" x14ac:dyDescent="0.3">
      <c r="A33" s="225">
        <v>21</v>
      </c>
      <c r="B33" s="233" t="s">
        <v>885</v>
      </c>
      <c r="C33" s="233" t="s">
        <v>844</v>
      </c>
      <c r="D33" s="234" t="s">
        <v>886</v>
      </c>
      <c r="E33" s="74">
        <v>125</v>
      </c>
      <c r="F33" s="238">
        <f t="shared" si="1"/>
        <v>41.666666666666664</v>
      </c>
      <c r="G33" s="74">
        <v>2015</v>
      </c>
      <c r="H33" s="74">
        <v>6</v>
      </c>
      <c r="I33" s="74">
        <v>17.123000999999999</v>
      </c>
      <c r="J33" s="74">
        <v>74.235415000000003</v>
      </c>
      <c r="K33" s="224" t="s">
        <v>855</v>
      </c>
      <c r="L33" s="233"/>
      <c r="M33" s="74">
        <v>7.31</v>
      </c>
      <c r="N33" s="74">
        <v>66.3</v>
      </c>
      <c r="O33" s="74">
        <v>1.45</v>
      </c>
      <c r="P33" s="74">
        <v>849</v>
      </c>
      <c r="Q33" s="74">
        <v>1.1000000000000001E-3</v>
      </c>
      <c r="R33" s="74">
        <v>425</v>
      </c>
      <c r="S33" s="74">
        <v>0.39</v>
      </c>
      <c r="T33" s="74">
        <v>27.68</v>
      </c>
      <c r="U33" s="74">
        <v>744</v>
      </c>
      <c r="V33" s="235">
        <v>1</v>
      </c>
      <c r="W33" s="74">
        <v>347</v>
      </c>
      <c r="X33" s="74">
        <v>11.6</v>
      </c>
      <c r="Y33" s="236">
        <v>112.6</v>
      </c>
      <c r="Z33" s="74">
        <v>1.1100000000000001</v>
      </c>
      <c r="AA33" s="183">
        <v>78.06</v>
      </c>
      <c r="AB33" s="183">
        <v>0.22</v>
      </c>
      <c r="AC33" s="233">
        <v>665.94</v>
      </c>
      <c r="AD33" s="233">
        <v>2.0000000000000001E-4</v>
      </c>
      <c r="AE33" s="233">
        <v>8.8000000000000005E-3</v>
      </c>
    </row>
    <row r="34" spans="1:31" x14ac:dyDescent="0.3">
      <c r="A34" s="225">
        <v>22</v>
      </c>
      <c r="B34" s="233" t="s">
        <v>887</v>
      </c>
      <c r="C34" s="233" t="s">
        <v>844</v>
      </c>
      <c r="D34" s="234" t="s">
        <v>888</v>
      </c>
      <c r="E34" s="74">
        <v>100</v>
      </c>
      <c r="F34" s="238">
        <f t="shared" si="1"/>
        <v>33.333333333333336</v>
      </c>
      <c r="G34" s="74">
        <v>2012</v>
      </c>
      <c r="H34" s="74">
        <v>5</v>
      </c>
      <c r="I34" s="74">
        <v>17.122281999999998</v>
      </c>
      <c r="J34" s="74">
        <v>74.231036000000003</v>
      </c>
      <c r="K34" s="224" t="s">
        <v>855</v>
      </c>
      <c r="L34" s="233"/>
      <c r="M34" s="74">
        <v>7.36</v>
      </c>
      <c r="N34" s="74">
        <v>73.599999999999994</v>
      </c>
      <c r="O34" s="74">
        <v>3.87</v>
      </c>
      <c r="P34" s="74">
        <v>1177</v>
      </c>
      <c r="Q34" s="74">
        <v>1.1000000000000001E-3</v>
      </c>
      <c r="R34" s="74">
        <v>589</v>
      </c>
      <c r="S34" s="74">
        <v>0.57999999999999996</v>
      </c>
      <c r="T34" s="75">
        <v>27.7</v>
      </c>
      <c r="U34" s="74">
        <v>436</v>
      </c>
      <c r="V34" s="240">
        <v>0.47</v>
      </c>
      <c r="W34" s="74">
        <v>896</v>
      </c>
      <c r="X34" s="75">
        <v>22.4</v>
      </c>
      <c r="Y34" s="236">
        <v>183.7</v>
      </c>
      <c r="Z34" s="74">
        <v>7.48</v>
      </c>
      <c r="AA34" s="183">
        <v>100.06</v>
      </c>
      <c r="AB34" s="183">
        <v>9.31</v>
      </c>
      <c r="AC34" s="233">
        <v>335.94</v>
      </c>
      <c r="AD34" s="233">
        <v>1E-4</v>
      </c>
      <c r="AE34" s="233">
        <v>1.9E-3</v>
      </c>
    </row>
    <row r="35" spans="1:31" x14ac:dyDescent="0.3">
      <c r="A35" s="225">
        <v>23</v>
      </c>
      <c r="B35" s="233" t="s">
        <v>889</v>
      </c>
      <c r="C35" s="233" t="s">
        <v>844</v>
      </c>
      <c r="D35" s="234" t="s">
        <v>890</v>
      </c>
      <c r="E35" s="74">
        <v>120</v>
      </c>
      <c r="F35" s="238">
        <f t="shared" si="1"/>
        <v>40</v>
      </c>
      <c r="G35" s="74" t="s">
        <v>854</v>
      </c>
      <c r="H35" s="74">
        <v>7</v>
      </c>
      <c r="I35" s="74">
        <v>17.121351000000001</v>
      </c>
      <c r="J35" s="74">
        <v>74.228420999999997</v>
      </c>
      <c r="K35" s="224" t="s">
        <v>855</v>
      </c>
      <c r="L35" s="233"/>
      <c r="M35" s="74">
        <v>6.9</v>
      </c>
      <c r="N35" s="74">
        <v>100</v>
      </c>
      <c r="O35" s="74">
        <v>3.2</v>
      </c>
      <c r="P35" s="74">
        <v>1440</v>
      </c>
      <c r="Q35" s="74">
        <v>1.1000000000000001E-3</v>
      </c>
      <c r="R35" s="74">
        <v>720</v>
      </c>
      <c r="S35" s="74">
        <v>0.72</v>
      </c>
      <c r="T35" s="74">
        <v>27.6</v>
      </c>
      <c r="U35" s="74">
        <v>348</v>
      </c>
      <c r="V35" s="235">
        <v>0.55000000000000004</v>
      </c>
      <c r="W35" s="74">
        <v>672</v>
      </c>
      <c r="X35" s="74">
        <v>13.3</v>
      </c>
      <c r="Y35" s="236">
        <v>188.7</v>
      </c>
      <c r="Z35" s="74">
        <v>10.19</v>
      </c>
      <c r="AA35" s="183">
        <v>115.25</v>
      </c>
      <c r="AB35" s="183">
        <v>23.08</v>
      </c>
      <c r="AC35" s="233">
        <v>232.75</v>
      </c>
      <c r="AD35" s="233">
        <v>2.9999999999999997E-4</v>
      </c>
      <c r="AE35" s="233">
        <v>3.2000000000000002E-3</v>
      </c>
    </row>
    <row r="36" spans="1:31" x14ac:dyDescent="0.3">
      <c r="A36" s="225">
        <v>24</v>
      </c>
      <c r="B36" s="233" t="s">
        <v>891</v>
      </c>
      <c r="C36" s="233" t="s">
        <v>844</v>
      </c>
      <c r="D36" s="234" t="s">
        <v>892</v>
      </c>
      <c r="E36" s="74">
        <v>150</v>
      </c>
      <c r="F36" s="238">
        <f t="shared" si="1"/>
        <v>50</v>
      </c>
      <c r="G36" s="74" t="s">
        <v>854</v>
      </c>
      <c r="H36" s="74">
        <v>3</v>
      </c>
      <c r="I36" s="74">
        <v>17.119250999999998</v>
      </c>
      <c r="J36" s="74">
        <v>74.195496000000006</v>
      </c>
      <c r="K36" s="224" t="s">
        <v>855</v>
      </c>
      <c r="L36" s="233"/>
      <c r="M36" s="74">
        <v>7.36</v>
      </c>
      <c r="N36" s="74">
        <v>93.9</v>
      </c>
      <c r="O36" s="74">
        <v>4.0999999999999996</v>
      </c>
      <c r="P36" s="74">
        <v>1611</v>
      </c>
      <c r="Q36" s="74">
        <v>1.1000000000000001E-3</v>
      </c>
      <c r="R36" s="74">
        <v>805</v>
      </c>
      <c r="S36" s="74">
        <v>0.81</v>
      </c>
      <c r="T36" s="74">
        <v>27.82</v>
      </c>
      <c r="U36" s="74">
        <v>420</v>
      </c>
      <c r="V36" s="235">
        <v>0.71</v>
      </c>
      <c r="W36" s="74">
        <v>364</v>
      </c>
      <c r="X36" s="74">
        <v>26.9</v>
      </c>
      <c r="Y36" s="236">
        <v>64.2</v>
      </c>
      <c r="Z36" s="74">
        <v>7.5200000000000005</v>
      </c>
      <c r="AA36" s="183">
        <v>117.98</v>
      </c>
      <c r="AB36" s="183">
        <v>50.53</v>
      </c>
      <c r="AC36" s="233">
        <v>302.02</v>
      </c>
      <c r="AD36" s="233">
        <v>6.9999999999999999E-4</v>
      </c>
      <c r="AE36" s="233">
        <v>2.3E-3</v>
      </c>
    </row>
    <row r="37" spans="1:31" x14ac:dyDescent="0.3">
      <c r="A37" s="225">
        <v>25</v>
      </c>
      <c r="B37" s="233" t="s">
        <v>893</v>
      </c>
      <c r="C37" s="233" t="s">
        <v>844</v>
      </c>
      <c r="D37" s="234" t="s">
        <v>894</v>
      </c>
      <c r="E37" s="74">
        <v>250</v>
      </c>
      <c r="F37" s="237">
        <f t="shared" si="1"/>
        <v>83.333333333333329</v>
      </c>
      <c r="G37" s="74">
        <v>2004</v>
      </c>
      <c r="H37" s="74">
        <v>2</v>
      </c>
      <c r="I37" s="74">
        <v>17.072600999999999</v>
      </c>
      <c r="J37" s="74">
        <v>74.244816</v>
      </c>
      <c r="K37" s="224" t="s">
        <v>855</v>
      </c>
      <c r="L37" s="233"/>
      <c r="M37" s="74">
        <v>7.43</v>
      </c>
      <c r="N37" s="74">
        <v>77.7</v>
      </c>
      <c r="O37" s="74">
        <v>3.88</v>
      </c>
      <c r="P37" s="74">
        <v>741</v>
      </c>
      <c r="Q37" s="74">
        <v>1.1000000000000001E-3</v>
      </c>
      <c r="R37" s="74">
        <v>371</v>
      </c>
      <c r="S37" s="74">
        <v>0.36</v>
      </c>
      <c r="T37" s="74">
        <v>27.62</v>
      </c>
      <c r="U37" s="74">
        <v>340</v>
      </c>
      <c r="V37" s="235">
        <v>0.32</v>
      </c>
      <c r="W37" s="74">
        <v>406</v>
      </c>
      <c r="X37" s="74">
        <v>17.399999999999999</v>
      </c>
      <c r="Y37" s="236">
        <v>48.3</v>
      </c>
      <c r="Z37" s="74">
        <v>0</v>
      </c>
      <c r="AA37" s="74">
        <v>22.27</v>
      </c>
      <c r="AB37" s="74">
        <v>1.64</v>
      </c>
      <c r="AC37" s="233">
        <v>317.73</v>
      </c>
      <c r="AD37" s="74">
        <v>2.9999999999999997E-4</v>
      </c>
      <c r="AE37" s="74">
        <v>8.8999999999999999E-3</v>
      </c>
    </row>
    <row r="38" spans="1:31" x14ac:dyDescent="0.3">
      <c r="A38" s="225">
        <v>26</v>
      </c>
      <c r="B38" s="233" t="s">
        <v>895</v>
      </c>
      <c r="C38" s="233" t="s">
        <v>844</v>
      </c>
      <c r="D38" s="234" t="s">
        <v>896</v>
      </c>
      <c r="E38" s="74">
        <v>100</v>
      </c>
      <c r="F38" s="238">
        <f t="shared" si="1"/>
        <v>33.333333333333336</v>
      </c>
      <c r="G38" s="74">
        <v>1996</v>
      </c>
      <c r="H38" s="74">
        <v>8</v>
      </c>
      <c r="I38" s="74">
        <v>17.089181</v>
      </c>
      <c r="J38" s="74">
        <v>74.227357999999995</v>
      </c>
      <c r="K38" s="224" t="s">
        <v>855</v>
      </c>
      <c r="L38" s="233"/>
      <c r="M38" s="74">
        <v>7.75</v>
      </c>
      <c r="N38" s="74">
        <v>70.5</v>
      </c>
      <c r="O38" s="74">
        <v>3.85</v>
      </c>
      <c r="P38" s="74">
        <v>435</v>
      </c>
      <c r="Q38" s="74">
        <v>1.1000000000000001E-3</v>
      </c>
      <c r="R38" s="74">
        <v>217</v>
      </c>
      <c r="S38" s="74">
        <v>0.21</v>
      </c>
      <c r="T38" s="74">
        <v>27.86</v>
      </c>
      <c r="U38" s="74">
        <v>880</v>
      </c>
      <c r="V38" s="235">
        <v>0.89</v>
      </c>
      <c r="W38" s="74">
        <v>480</v>
      </c>
      <c r="X38" s="74">
        <v>20.100000000000001</v>
      </c>
      <c r="Y38" s="236">
        <v>41.6</v>
      </c>
      <c r="Z38" s="74">
        <v>0</v>
      </c>
      <c r="AA38" s="74">
        <v>59.44</v>
      </c>
      <c r="AB38" s="74">
        <v>0.16</v>
      </c>
      <c r="AC38" s="233">
        <v>820.56</v>
      </c>
      <c r="AD38" s="74">
        <v>2.0000000000000001E-4</v>
      </c>
      <c r="AE38" s="74">
        <v>7.1000000000000004E-3</v>
      </c>
    </row>
    <row r="39" spans="1:31" x14ac:dyDescent="0.3">
      <c r="A39" s="225">
        <v>27</v>
      </c>
      <c r="B39" s="233" t="s">
        <v>897</v>
      </c>
      <c r="C39" s="233" t="s">
        <v>844</v>
      </c>
      <c r="D39" s="234" t="s">
        <v>128</v>
      </c>
      <c r="E39" s="74">
        <v>150</v>
      </c>
      <c r="F39" s="238">
        <f t="shared" si="1"/>
        <v>50</v>
      </c>
      <c r="G39" s="74" t="s">
        <v>854</v>
      </c>
      <c r="H39" s="74">
        <v>5</v>
      </c>
      <c r="I39" s="74">
        <v>17.128592999999999</v>
      </c>
      <c r="J39" s="74">
        <v>74.188719000000006</v>
      </c>
      <c r="K39" s="224" t="s">
        <v>855</v>
      </c>
      <c r="L39" s="233"/>
      <c r="M39" s="74">
        <v>8.3699999999999992</v>
      </c>
      <c r="N39" s="74">
        <v>56</v>
      </c>
      <c r="O39" s="74">
        <v>3.95</v>
      </c>
      <c r="P39" s="74">
        <v>946</v>
      </c>
      <c r="Q39" s="74">
        <v>1.1000000000000001E-3</v>
      </c>
      <c r="R39" s="74">
        <v>473</v>
      </c>
      <c r="S39" s="74">
        <v>0.46</v>
      </c>
      <c r="T39" s="74">
        <v>28.06</v>
      </c>
      <c r="U39" s="74">
        <v>444</v>
      </c>
      <c r="V39" s="235">
        <v>1.72</v>
      </c>
      <c r="W39" s="74">
        <v>375</v>
      </c>
      <c r="X39" s="74">
        <v>13.9</v>
      </c>
      <c r="Y39" s="236">
        <v>92.5</v>
      </c>
      <c r="Z39" s="74">
        <v>0</v>
      </c>
      <c r="AA39" s="74">
        <v>4.0199999999999996</v>
      </c>
      <c r="AB39" s="74">
        <v>0.72</v>
      </c>
      <c r="AC39" s="233">
        <v>439.98</v>
      </c>
      <c r="AD39" s="74">
        <v>2.0000000000000001E-4</v>
      </c>
      <c r="AE39" s="74">
        <v>6.3E-3</v>
      </c>
    </row>
    <row r="40" spans="1:31" x14ac:dyDescent="0.3">
      <c r="A40" s="225"/>
      <c r="B40" s="233"/>
      <c r="C40" s="233"/>
      <c r="D40" s="234"/>
      <c r="E40" s="74"/>
      <c r="F40" s="74"/>
      <c r="G40" s="74"/>
      <c r="H40" s="74"/>
      <c r="I40" s="74"/>
      <c r="J40" s="74"/>
      <c r="K40" s="224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1"/>
      <c r="W40" s="74"/>
      <c r="X40" s="74"/>
      <c r="Y40" s="236"/>
      <c r="Z40" s="233"/>
      <c r="AA40" s="233"/>
      <c r="AB40" s="233"/>
      <c r="AC40" s="233"/>
      <c r="AD40" s="233"/>
      <c r="AE40" s="233"/>
    </row>
    <row r="41" spans="1:31" x14ac:dyDescent="0.3">
      <c r="A41" s="225"/>
      <c r="B41" s="233"/>
      <c r="C41" s="233"/>
      <c r="D41" s="234"/>
      <c r="E41" s="74"/>
      <c r="F41" s="74"/>
      <c r="G41" s="74"/>
      <c r="H41" s="74"/>
      <c r="I41" s="74"/>
      <c r="J41" s="74"/>
      <c r="K41" s="224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1"/>
      <c r="W41" s="74"/>
      <c r="X41" s="74"/>
      <c r="Y41" s="236"/>
      <c r="Z41" s="233"/>
      <c r="AA41" s="233"/>
      <c r="AB41" s="233"/>
      <c r="AC41" s="233"/>
      <c r="AD41" s="233"/>
      <c r="AE41" s="233"/>
    </row>
    <row r="42" spans="1:31" x14ac:dyDescent="0.3">
      <c r="A42" s="225"/>
      <c r="B42" s="233"/>
      <c r="C42" s="233"/>
      <c r="D42" s="234"/>
      <c r="E42" s="74"/>
      <c r="F42" s="74"/>
      <c r="G42" s="74"/>
      <c r="H42" s="74"/>
      <c r="I42" s="239"/>
      <c r="J42" s="239"/>
      <c r="K42" s="224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1"/>
      <c r="W42" s="74"/>
      <c r="X42" s="74"/>
      <c r="Y42" s="236"/>
      <c r="Z42" s="233"/>
      <c r="AA42" s="233"/>
      <c r="AB42" s="233"/>
      <c r="AC42" s="233"/>
      <c r="AD42" s="233"/>
      <c r="AE42" s="233"/>
    </row>
    <row r="43" spans="1:31" x14ac:dyDescent="0.3">
      <c r="A43" s="225"/>
      <c r="B43" s="226" t="s">
        <v>496</v>
      </c>
      <c r="C43" s="226" t="s">
        <v>898</v>
      </c>
      <c r="D43" s="227" t="s">
        <v>607</v>
      </c>
      <c r="E43" s="228" t="s">
        <v>608</v>
      </c>
      <c r="F43" s="228"/>
      <c r="G43" s="228" t="s">
        <v>610</v>
      </c>
      <c r="H43" s="228" t="s">
        <v>611</v>
      </c>
      <c r="I43" s="228" t="s">
        <v>612</v>
      </c>
      <c r="J43" s="228" t="s">
        <v>7</v>
      </c>
      <c r="K43" s="229" t="s">
        <v>613</v>
      </c>
      <c r="L43" s="226" t="s">
        <v>826</v>
      </c>
      <c r="M43" s="226" t="s">
        <v>614</v>
      </c>
      <c r="N43" s="226" t="s">
        <v>615</v>
      </c>
      <c r="O43" s="226" t="s">
        <v>12</v>
      </c>
      <c r="P43" s="226" t="s">
        <v>617</v>
      </c>
      <c r="Q43" s="226" t="s">
        <v>618</v>
      </c>
      <c r="R43" s="226" t="s">
        <v>476</v>
      </c>
      <c r="S43" s="226" t="s">
        <v>619</v>
      </c>
      <c r="T43" s="226" t="s">
        <v>620</v>
      </c>
      <c r="U43" s="226" t="s">
        <v>621</v>
      </c>
      <c r="V43" s="231" t="s">
        <v>622</v>
      </c>
      <c r="W43" s="228" t="s">
        <v>616</v>
      </c>
      <c r="X43" s="228" t="s">
        <v>408</v>
      </c>
      <c r="Y43" s="226" t="s">
        <v>623</v>
      </c>
      <c r="Z43" s="226" t="s">
        <v>4</v>
      </c>
      <c r="AA43" s="226" t="s">
        <v>407</v>
      </c>
      <c r="AB43" s="226" t="s">
        <v>5</v>
      </c>
      <c r="AC43" s="226" t="s">
        <v>624</v>
      </c>
      <c r="AD43" s="226" t="s">
        <v>15</v>
      </c>
      <c r="AE43" s="226" t="s">
        <v>625</v>
      </c>
    </row>
    <row r="44" spans="1:31" x14ac:dyDescent="0.3">
      <c r="A44" s="225">
        <v>1</v>
      </c>
      <c r="B44" s="233" t="s">
        <v>899</v>
      </c>
      <c r="C44" s="233"/>
      <c r="D44" s="234" t="s">
        <v>900</v>
      </c>
      <c r="E44" s="74">
        <v>260</v>
      </c>
      <c r="F44" s="237">
        <f t="shared" ref="F44:F107" si="2">E44/3</f>
        <v>86.666666666666671</v>
      </c>
      <c r="G44" s="74">
        <v>2002</v>
      </c>
      <c r="H44" s="74">
        <v>5</v>
      </c>
      <c r="I44" s="74">
        <v>17.036767000000001</v>
      </c>
      <c r="J44" s="74">
        <v>74.368257</v>
      </c>
      <c r="K44" s="224" t="s">
        <v>822</v>
      </c>
      <c r="L44" s="233"/>
      <c r="M44" s="74">
        <v>8.11</v>
      </c>
      <c r="N44" s="74">
        <v>42.6</v>
      </c>
      <c r="O44" s="74">
        <v>3.31</v>
      </c>
      <c r="P44" s="74">
        <v>1294</v>
      </c>
      <c r="Q44" s="74">
        <v>8.0000000000000004E-4</v>
      </c>
      <c r="R44" s="74">
        <v>647</v>
      </c>
      <c r="S44" s="74">
        <v>0.64</v>
      </c>
      <c r="T44" s="74">
        <v>27.45</v>
      </c>
      <c r="U44" s="74">
        <v>424</v>
      </c>
      <c r="V44" s="235">
        <v>1.1200000000000001</v>
      </c>
      <c r="W44" s="74">
        <v>327</v>
      </c>
      <c r="X44" s="74">
        <v>13.4</v>
      </c>
      <c r="Y44" s="236">
        <v>60.5</v>
      </c>
      <c r="Z44" s="74">
        <v>0.79</v>
      </c>
      <c r="AA44" s="183">
        <v>51.87</v>
      </c>
      <c r="AB44" s="183">
        <v>2.91</v>
      </c>
      <c r="AC44" s="233">
        <v>372.13</v>
      </c>
      <c r="AD44" s="233">
        <v>1E-4</v>
      </c>
      <c r="AE44" s="233">
        <v>9.4000000000000004E-3</v>
      </c>
    </row>
    <row r="45" spans="1:31" x14ac:dyDescent="0.3">
      <c r="A45" s="225">
        <v>2</v>
      </c>
      <c r="B45" s="233" t="s">
        <v>901</v>
      </c>
      <c r="C45" s="233"/>
      <c r="D45" s="234" t="s">
        <v>902</v>
      </c>
      <c r="E45" s="74">
        <v>200</v>
      </c>
      <c r="F45" s="238">
        <f t="shared" si="2"/>
        <v>66.666666666666671</v>
      </c>
      <c r="G45" s="74">
        <v>2014</v>
      </c>
      <c r="H45" s="74">
        <v>7</v>
      </c>
      <c r="I45" s="74">
        <v>17.028625999999999</v>
      </c>
      <c r="J45" s="74">
        <v>74.367728</v>
      </c>
      <c r="K45" s="224" t="s">
        <v>822</v>
      </c>
      <c r="L45" s="233"/>
      <c r="M45" s="74">
        <v>7.75</v>
      </c>
      <c r="N45" s="74">
        <v>44.6</v>
      </c>
      <c r="O45" s="74">
        <v>3.27</v>
      </c>
      <c r="P45" s="74">
        <v>311</v>
      </c>
      <c r="Q45" s="74">
        <v>3.2000000000000002E-3</v>
      </c>
      <c r="R45" s="74">
        <v>156</v>
      </c>
      <c r="S45" s="74">
        <v>0.15</v>
      </c>
      <c r="T45" s="74">
        <v>27.56</v>
      </c>
      <c r="U45" s="74">
        <v>568</v>
      </c>
      <c r="V45" s="235">
        <v>0.27</v>
      </c>
      <c r="W45" s="74">
        <v>240</v>
      </c>
      <c r="X45" s="74">
        <v>11.2</v>
      </c>
      <c r="Y45" s="236">
        <v>85.2</v>
      </c>
      <c r="Z45" s="74">
        <v>10.299999999999999</v>
      </c>
      <c r="AA45" s="183">
        <v>8.6199999999999992</v>
      </c>
      <c r="AB45" s="183">
        <v>19.760000000000002</v>
      </c>
      <c r="AC45" s="233">
        <v>559.38</v>
      </c>
      <c r="AD45" s="233">
        <v>2.0000000000000001E-4</v>
      </c>
      <c r="AE45" s="233">
        <v>3.5999999999999999E-3</v>
      </c>
    </row>
    <row r="46" spans="1:31" x14ac:dyDescent="0.3">
      <c r="A46" s="225">
        <v>3</v>
      </c>
      <c r="B46" s="233" t="s">
        <v>903</v>
      </c>
      <c r="C46" s="233"/>
      <c r="D46" s="234" t="s">
        <v>904</v>
      </c>
      <c r="E46" s="74">
        <v>70</v>
      </c>
      <c r="F46" s="238">
        <f t="shared" si="2"/>
        <v>23.333333333333332</v>
      </c>
      <c r="G46" s="74">
        <v>2007</v>
      </c>
      <c r="H46" s="74">
        <v>6</v>
      </c>
      <c r="I46" s="74">
        <v>17.025917</v>
      </c>
      <c r="J46" s="74">
        <v>74.365595999999996</v>
      </c>
      <c r="K46" s="224" t="s">
        <v>855</v>
      </c>
      <c r="L46" s="233"/>
      <c r="M46" s="74">
        <v>7.2</v>
      </c>
      <c r="N46" s="74">
        <v>98.4</v>
      </c>
      <c r="O46" s="74">
        <v>3.77</v>
      </c>
      <c r="P46" s="74">
        <v>641</v>
      </c>
      <c r="Q46" s="74">
        <v>1.6000000000000001E-3</v>
      </c>
      <c r="R46" s="74">
        <v>321</v>
      </c>
      <c r="S46" s="74">
        <v>0.31</v>
      </c>
      <c r="T46" s="74">
        <v>27.64</v>
      </c>
      <c r="U46" s="74">
        <v>440</v>
      </c>
      <c r="V46" s="235">
        <v>0.59</v>
      </c>
      <c r="W46" s="74">
        <v>317</v>
      </c>
      <c r="X46" s="74">
        <v>18.899999999999999</v>
      </c>
      <c r="Y46" s="236">
        <v>78.2</v>
      </c>
      <c r="Z46" s="74">
        <v>0.77</v>
      </c>
      <c r="AA46" s="183">
        <v>40.659999999999997</v>
      </c>
      <c r="AB46" s="183">
        <v>2.87</v>
      </c>
      <c r="AC46" s="233">
        <v>399.34</v>
      </c>
      <c r="AD46" s="233">
        <v>2.0000000000000001E-4</v>
      </c>
      <c r="AE46" s="233">
        <v>3.3999999999999998E-3</v>
      </c>
    </row>
    <row r="47" spans="1:31" x14ac:dyDescent="0.3">
      <c r="A47" s="225">
        <v>4</v>
      </c>
      <c r="B47" s="233" t="s">
        <v>905</v>
      </c>
      <c r="C47" s="233"/>
      <c r="D47" s="234" t="s">
        <v>906</v>
      </c>
      <c r="E47" s="74">
        <v>100</v>
      </c>
      <c r="F47" s="238">
        <f t="shared" si="2"/>
        <v>33.333333333333336</v>
      </c>
      <c r="G47" s="74">
        <v>2010</v>
      </c>
      <c r="H47" s="74">
        <v>5</v>
      </c>
      <c r="I47" s="74">
        <v>17.029266</v>
      </c>
      <c r="J47" s="74">
        <v>74.372386000000006</v>
      </c>
      <c r="K47" s="224" t="s">
        <v>855</v>
      </c>
      <c r="L47" s="233"/>
      <c r="M47" s="74">
        <v>6.42</v>
      </c>
      <c r="N47" s="74">
        <v>78.900000000000006</v>
      </c>
      <c r="O47" s="74">
        <v>2.9</v>
      </c>
      <c r="P47" s="74">
        <v>739</v>
      </c>
      <c r="Q47" s="74">
        <v>1.4E-3</v>
      </c>
      <c r="R47" s="74">
        <v>370</v>
      </c>
      <c r="S47" s="74">
        <v>0.36</v>
      </c>
      <c r="T47" s="74">
        <v>27.93</v>
      </c>
      <c r="U47" s="74">
        <v>372</v>
      </c>
      <c r="V47" s="235">
        <v>0.28999999999999998</v>
      </c>
      <c r="W47" s="74">
        <v>640</v>
      </c>
      <c r="X47" s="74">
        <v>5.5</v>
      </c>
      <c r="Y47" s="236">
        <v>178.6</v>
      </c>
      <c r="Z47" s="74">
        <v>12.059999999999999</v>
      </c>
      <c r="AA47" s="183">
        <v>51.67</v>
      </c>
      <c r="AB47" s="183">
        <v>2.87</v>
      </c>
      <c r="AC47" s="233">
        <v>320.44</v>
      </c>
      <c r="AD47" s="233">
        <v>2.0000000000000001E-4</v>
      </c>
      <c r="AE47" s="233">
        <v>6.1999999999999998E-3</v>
      </c>
    </row>
    <row r="48" spans="1:31" x14ac:dyDescent="0.3">
      <c r="A48" s="225">
        <v>5</v>
      </c>
      <c r="B48" s="233" t="s">
        <v>907</v>
      </c>
      <c r="C48" s="233"/>
      <c r="D48" s="234" t="s">
        <v>908</v>
      </c>
      <c r="E48" s="74">
        <v>150</v>
      </c>
      <c r="F48" s="238">
        <f t="shared" si="2"/>
        <v>50</v>
      </c>
      <c r="G48" s="74">
        <v>2012</v>
      </c>
      <c r="H48" s="74">
        <v>1</v>
      </c>
      <c r="I48" s="74">
        <v>17.026691</v>
      </c>
      <c r="J48" s="74">
        <v>74.369900000000001</v>
      </c>
      <c r="K48" s="224" t="s">
        <v>855</v>
      </c>
      <c r="L48" s="233"/>
      <c r="M48" s="74">
        <v>7.31</v>
      </c>
      <c r="N48" s="74">
        <v>97.5</v>
      </c>
      <c r="O48" s="74">
        <v>4.3</v>
      </c>
      <c r="P48" s="74">
        <v>1215</v>
      </c>
      <c r="Q48" s="74">
        <v>8.0000000000000004E-4</v>
      </c>
      <c r="R48" s="74">
        <v>609</v>
      </c>
      <c r="S48" s="74">
        <v>0.6</v>
      </c>
      <c r="T48" s="74">
        <v>27.53</v>
      </c>
      <c r="U48" s="74">
        <v>744</v>
      </c>
      <c r="V48" s="235">
        <v>0.3</v>
      </c>
      <c r="W48" s="74">
        <v>264</v>
      </c>
      <c r="X48" s="74">
        <v>17.5</v>
      </c>
      <c r="Y48" s="236">
        <v>59.2</v>
      </c>
      <c r="Z48" s="74">
        <v>1.01</v>
      </c>
      <c r="AA48" s="183">
        <v>87.61</v>
      </c>
      <c r="AB48" s="183">
        <v>2.9</v>
      </c>
      <c r="AC48" s="233">
        <v>656.39</v>
      </c>
      <c r="AD48" s="233">
        <v>2.0000000000000001E-4</v>
      </c>
      <c r="AE48" s="233">
        <v>6.3E-3</v>
      </c>
    </row>
    <row r="49" spans="1:31" x14ac:dyDescent="0.3">
      <c r="A49" s="225">
        <v>6</v>
      </c>
      <c r="B49" s="233" t="s">
        <v>909</v>
      </c>
      <c r="C49" s="233"/>
      <c r="D49" s="234" t="s">
        <v>910</v>
      </c>
      <c r="E49" s="74">
        <v>200</v>
      </c>
      <c r="F49" s="238">
        <f t="shared" si="2"/>
        <v>66.666666666666671</v>
      </c>
      <c r="G49" s="74">
        <v>2007</v>
      </c>
      <c r="H49" s="74">
        <v>4</v>
      </c>
      <c r="I49" s="74">
        <v>17.024286</v>
      </c>
      <c r="J49" s="74">
        <v>74.371235999999996</v>
      </c>
      <c r="K49" s="224" t="s">
        <v>855</v>
      </c>
      <c r="L49" s="233"/>
      <c r="M49" s="74">
        <v>7.51</v>
      </c>
      <c r="N49" s="74">
        <v>88.4</v>
      </c>
      <c r="O49" s="74">
        <v>3.45</v>
      </c>
      <c r="P49" s="74">
        <v>938</v>
      </c>
      <c r="Q49" s="74">
        <v>1.1000000000000001E-3</v>
      </c>
      <c r="R49" s="74">
        <v>469</v>
      </c>
      <c r="S49" s="74">
        <v>0.46</v>
      </c>
      <c r="T49" s="74">
        <v>27.89</v>
      </c>
      <c r="U49" s="74">
        <v>436</v>
      </c>
      <c r="V49" s="235">
        <v>1.29</v>
      </c>
      <c r="W49" s="74">
        <v>218</v>
      </c>
      <c r="X49" s="74">
        <v>16.399999999999999</v>
      </c>
      <c r="Y49" s="236">
        <v>183.4</v>
      </c>
      <c r="Z49" s="74">
        <v>2.91</v>
      </c>
      <c r="AA49" s="183">
        <v>109</v>
      </c>
      <c r="AB49" s="183">
        <v>2.89</v>
      </c>
      <c r="AC49" s="233">
        <v>327</v>
      </c>
      <c r="AD49" s="233">
        <v>2.9999999999999997E-4</v>
      </c>
      <c r="AE49" s="233">
        <v>3.29E-3</v>
      </c>
    </row>
    <row r="50" spans="1:31" x14ac:dyDescent="0.3">
      <c r="A50" s="225">
        <v>7</v>
      </c>
      <c r="B50" s="233" t="s">
        <v>911</v>
      </c>
      <c r="C50" s="233"/>
      <c r="D50" s="234" t="s">
        <v>912</v>
      </c>
      <c r="E50" s="74">
        <v>150</v>
      </c>
      <c r="F50" s="238">
        <f t="shared" si="2"/>
        <v>50</v>
      </c>
      <c r="G50" s="74">
        <v>2005</v>
      </c>
      <c r="H50" s="74">
        <v>3</v>
      </c>
      <c r="I50" s="74">
        <v>17.025297999999999</v>
      </c>
      <c r="J50" s="74">
        <v>74.374624999999995</v>
      </c>
      <c r="K50" s="224" t="s">
        <v>855</v>
      </c>
      <c r="L50" s="233"/>
      <c r="M50" s="74">
        <v>7.45</v>
      </c>
      <c r="N50" s="74">
        <v>68</v>
      </c>
      <c r="O50" s="74">
        <v>2.92</v>
      </c>
      <c r="P50" s="74">
        <v>1112</v>
      </c>
      <c r="Q50" s="74">
        <v>1.5E-3</v>
      </c>
      <c r="R50" s="74">
        <v>533</v>
      </c>
      <c r="S50" s="74">
        <v>0.5</v>
      </c>
      <c r="T50" s="74">
        <v>27.89</v>
      </c>
      <c r="U50" s="74">
        <v>348</v>
      </c>
      <c r="V50" s="235">
        <v>0.16</v>
      </c>
      <c r="W50" s="74">
        <v>820</v>
      </c>
      <c r="X50" s="74">
        <v>7.6</v>
      </c>
      <c r="Y50" s="236">
        <v>76.400000000000006</v>
      </c>
      <c r="Z50" s="74">
        <v>1.2</v>
      </c>
      <c r="AA50" s="183">
        <v>124.19</v>
      </c>
      <c r="AB50" s="183">
        <v>2.87</v>
      </c>
      <c r="AC50" s="233">
        <v>223.81</v>
      </c>
      <c r="AD50" s="233">
        <v>2.9999999999999997E-4</v>
      </c>
      <c r="AE50" s="233">
        <v>4.7000000000000002E-3</v>
      </c>
    </row>
    <row r="51" spans="1:31" x14ac:dyDescent="0.3">
      <c r="A51" s="225">
        <v>8</v>
      </c>
      <c r="B51" s="233" t="s">
        <v>913</v>
      </c>
      <c r="C51" s="233"/>
      <c r="D51" s="234" t="s">
        <v>914</v>
      </c>
      <c r="E51" s="74">
        <v>210</v>
      </c>
      <c r="F51" s="237">
        <f t="shared" si="2"/>
        <v>70</v>
      </c>
      <c r="G51" s="74">
        <v>2001</v>
      </c>
      <c r="H51" s="74">
        <v>4</v>
      </c>
      <c r="I51" s="74">
        <v>17.023607999999999</v>
      </c>
      <c r="J51" s="74">
        <v>74.380988000000002</v>
      </c>
      <c r="K51" s="224" t="s">
        <v>855</v>
      </c>
      <c r="L51" s="233"/>
      <c r="M51" s="74">
        <v>7.51</v>
      </c>
      <c r="N51" s="74">
        <v>89.8</v>
      </c>
      <c r="O51" s="74">
        <v>3.83</v>
      </c>
      <c r="P51" s="74">
        <v>684</v>
      </c>
      <c r="Q51" s="74">
        <v>1.5E-3</v>
      </c>
      <c r="R51" s="74">
        <v>342</v>
      </c>
      <c r="S51" s="74">
        <v>0.33</v>
      </c>
      <c r="T51" s="74">
        <v>27.68</v>
      </c>
      <c r="U51" s="74">
        <v>420</v>
      </c>
      <c r="V51" s="235">
        <v>0.52</v>
      </c>
      <c r="W51" s="74">
        <v>768</v>
      </c>
      <c r="X51" s="74">
        <v>6.7</v>
      </c>
      <c r="Y51" s="236">
        <v>58.3</v>
      </c>
      <c r="Z51" s="74">
        <v>0.77</v>
      </c>
      <c r="AA51" s="183">
        <v>104.84</v>
      </c>
      <c r="AB51" s="183">
        <v>2.9</v>
      </c>
      <c r="AC51" s="233">
        <v>315.16000000000003</v>
      </c>
      <c r="AD51" s="233">
        <v>2.0000000000000001E-4</v>
      </c>
      <c r="AE51" s="233">
        <v>1E-3</v>
      </c>
    </row>
    <row r="52" spans="1:31" x14ac:dyDescent="0.3">
      <c r="A52" s="225">
        <v>9</v>
      </c>
      <c r="B52" s="233" t="s">
        <v>915</v>
      </c>
      <c r="C52" s="233"/>
      <c r="D52" s="234" t="s">
        <v>916</v>
      </c>
      <c r="E52" s="74">
        <v>180</v>
      </c>
      <c r="F52" s="238">
        <f t="shared" si="2"/>
        <v>60</v>
      </c>
      <c r="G52" s="74">
        <v>2014</v>
      </c>
      <c r="H52" s="74">
        <v>6</v>
      </c>
      <c r="I52" s="74">
        <v>17.028769</v>
      </c>
      <c r="J52" s="74">
        <v>74.377880000000005</v>
      </c>
      <c r="K52" s="224" t="s">
        <v>822</v>
      </c>
      <c r="L52" s="233"/>
      <c r="M52" s="74">
        <v>7.45</v>
      </c>
      <c r="N52" s="74">
        <v>68</v>
      </c>
      <c r="O52" s="74">
        <v>3.65</v>
      </c>
      <c r="P52" s="74">
        <v>1105</v>
      </c>
      <c r="Q52" s="74">
        <v>8.9999999999999998E-4</v>
      </c>
      <c r="R52" s="74">
        <v>552</v>
      </c>
      <c r="S52" s="74">
        <v>0.54</v>
      </c>
      <c r="T52" s="74">
        <v>27.75</v>
      </c>
      <c r="U52" s="74">
        <v>480</v>
      </c>
      <c r="V52" s="235">
        <v>0.3</v>
      </c>
      <c r="W52" s="74">
        <v>349</v>
      </c>
      <c r="X52" s="74">
        <v>4.8</v>
      </c>
      <c r="Y52" s="236">
        <v>75.099999999999994</v>
      </c>
      <c r="Z52" s="74">
        <v>11.059999999999999</v>
      </c>
      <c r="AA52" s="183">
        <v>117.99</v>
      </c>
      <c r="AB52" s="183">
        <v>62.21</v>
      </c>
      <c r="AC52" s="233">
        <v>362.01</v>
      </c>
      <c r="AD52" s="233">
        <v>5.0000000000000001E-4</v>
      </c>
      <c r="AE52" s="233">
        <v>3.2000000000000002E-3</v>
      </c>
    </row>
    <row r="53" spans="1:31" x14ac:dyDescent="0.3">
      <c r="A53" s="225">
        <v>10</v>
      </c>
      <c r="B53" s="233" t="s">
        <v>917</v>
      </c>
      <c r="C53" s="233"/>
      <c r="D53" s="234" t="s">
        <v>918</v>
      </c>
      <c r="E53" s="74">
        <v>200</v>
      </c>
      <c r="F53" s="238">
        <f t="shared" si="2"/>
        <v>66.666666666666671</v>
      </c>
      <c r="G53" s="74">
        <v>2017</v>
      </c>
      <c r="H53" s="74">
        <v>5</v>
      </c>
      <c r="I53" s="74">
        <v>17.026382999999999</v>
      </c>
      <c r="J53" s="74">
        <v>74.379942999999997</v>
      </c>
      <c r="K53" s="224" t="s">
        <v>822</v>
      </c>
      <c r="L53" s="233"/>
      <c r="M53" s="74">
        <v>7.51</v>
      </c>
      <c r="N53" s="74">
        <v>60</v>
      </c>
      <c r="O53" s="74">
        <v>3.7</v>
      </c>
      <c r="P53" s="74">
        <v>1213</v>
      </c>
      <c r="Q53" s="74">
        <v>8.0000000000000004E-4</v>
      </c>
      <c r="R53" s="74">
        <v>480</v>
      </c>
      <c r="S53" s="74">
        <v>0.45</v>
      </c>
      <c r="T53" s="74">
        <v>27.63</v>
      </c>
      <c r="U53" s="74">
        <v>412</v>
      </c>
      <c r="V53" s="235">
        <v>0.32</v>
      </c>
      <c r="W53" s="74">
        <v>448</v>
      </c>
      <c r="X53" s="74">
        <v>5.6</v>
      </c>
      <c r="Y53" s="236">
        <v>67.5</v>
      </c>
      <c r="Z53" s="74">
        <v>11.16</v>
      </c>
      <c r="AA53" s="183">
        <v>73.099999999999994</v>
      </c>
      <c r="AB53" s="183">
        <v>49.26</v>
      </c>
      <c r="AC53" s="233">
        <v>338.9</v>
      </c>
      <c r="AD53" s="233">
        <v>6.9999999999999999E-4</v>
      </c>
      <c r="AE53" s="233">
        <v>4.5999999999999999E-3</v>
      </c>
    </row>
    <row r="54" spans="1:31" x14ac:dyDescent="0.3">
      <c r="A54" s="225">
        <v>11</v>
      </c>
      <c r="B54" s="233" t="s">
        <v>919</v>
      </c>
      <c r="C54" s="233"/>
      <c r="D54" s="234" t="s">
        <v>920</v>
      </c>
      <c r="E54" s="74">
        <v>250</v>
      </c>
      <c r="F54" s="237">
        <f t="shared" si="2"/>
        <v>83.333333333333329</v>
      </c>
      <c r="G54" s="74">
        <v>2015</v>
      </c>
      <c r="H54" s="74">
        <v>7</v>
      </c>
      <c r="I54" s="74">
        <v>17.028957999999999</v>
      </c>
      <c r="J54" s="74">
        <v>74.376188999999997</v>
      </c>
      <c r="K54" s="224" t="s">
        <v>710</v>
      </c>
      <c r="L54" s="233"/>
      <c r="M54" s="74">
        <v>7.46</v>
      </c>
      <c r="N54" s="74">
        <v>91</v>
      </c>
      <c r="O54" s="74">
        <v>4.16</v>
      </c>
      <c r="P54" s="74">
        <v>1000</v>
      </c>
      <c r="Q54" s="74">
        <v>1E-3</v>
      </c>
      <c r="R54" s="74">
        <v>500</v>
      </c>
      <c r="S54" s="74">
        <v>0.49</v>
      </c>
      <c r="T54" s="74">
        <v>27.61</v>
      </c>
      <c r="U54" s="74">
        <v>488</v>
      </c>
      <c r="V54" s="235">
        <v>1.46</v>
      </c>
      <c r="W54" s="74">
        <v>600</v>
      </c>
      <c r="X54" s="74">
        <v>6</v>
      </c>
      <c r="Y54" s="236">
        <v>186.5</v>
      </c>
      <c r="Z54" s="74">
        <v>2.25</v>
      </c>
      <c r="AA54" s="183">
        <v>96.73</v>
      </c>
      <c r="AB54" s="183">
        <v>10.07</v>
      </c>
      <c r="AC54" s="233">
        <v>391.27</v>
      </c>
      <c r="AD54" s="233">
        <v>4.0000000000000002E-4</v>
      </c>
      <c r="AE54" s="233">
        <v>4.7000000000000002E-3</v>
      </c>
    </row>
    <row r="55" spans="1:31" x14ac:dyDescent="0.3">
      <c r="A55" s="225">
        <v>12</v>
      </c>
      <c r="B55" s="233" t="s">
        <v>921</v>
      </c>
      <c r="C55" s="233"/>
      <c r="D55" s="234" t="s">
        <v>922</v>
      </c>
      <c r="E55" s="74">
        <v>200</v>
      </c>
      <c r="F55" s="238">
        <f t="shared" si="2"/>
        <v>66.666666666666671</v>
      </c>
      <c r="G55" s="74">
        <v>2018</v>
      </c>
      <c r="H55" s="74">
        <v>3</v>
      </c>
      <c r="I55" s="74">
        <v>17.031337000000001</v>
      </c>
      <c r="J55" s="74">
        <v>74.379189999999994</v>
      </c>
      <c r="K55" s="224" t="s">
        <v>710</v>
      </c>
      <c r="L55" s="233"/>
      <c r="M55" s="74">
        <v>7.76</v>
      </c>
      <c r="N55" s="74">
        <v>50</v>
      </c>
      <c r="O55" s="74">
        <v>3.7</v>
      </c>
      <c r="P55" s="74">
        <v>816</v>
      </c>
      <c r="Q55" s="74">
        <v>1.1999999999999999E-3</v>
      </c>
      <c r="R55" s="74">
        <v>408</v>
      </c>
      <c r="S55" s="74">
        <v>0.4</v>
      </c>
      <c r="T55" s="74">
        <v>27.57</v>
      </c>
      <c r="U55" s="74">
        <v>528</v>
      </c>
      <c r="V55" s="235">
        <v>0.44</v>
      </c>
      <c r="W55" s="74">
        <v>546</v>
      </c>
      <c r="X55" s="74">
        <v>6.9</v>
      </c>
      <c r="Y55" s="236">
        <v>189.2</v>
      </c>
      <c r="Z55" s="74">
        <v>1.4500000000000002</v>
      </c>
      <c r="AA55" s="183">
        <v>54.21</v>
      </c>
      <c r="AB55" s="183">
        <v>2.9</v>
      </c>
      <c r="AC55" s="233">
        <v>473.79</v>
      </c>
      <c r="AD55" s="233">
        <v>2.9999999999999997E-4</v>
      </c>
      <c r="AE55" s="233">
        <v>8.9999999999999993E-3</v>
      </c>
    </row>
    <row r="56" spans="1:31" x14ac:dyDescent="0.3">
      <c r="A56" s="225">
        <v>13</v>
      </c>
      <c r="B56" s="233" t="s">
        <v>923</v>
      </c>
      <c r="C56" s="233"/>
      <c r="D56" s="234" t="s">
        <v>924</v>
      </c>
      <c r="E56" s="74">
        <v>250</v>
      </c>
      <c r="F56" s="237">
        <f t="shared" si="2"/>
        <v>83.333333333333329</v>
      </c>
      <c r="G56" s="74">
        <v>2019</v>
      </c>
      <c r="H56" s="74">
        <v>4</v>
      </c>
      <c r="I56" s="74">
        <v>17.120705999999998</v>
      </c>
      <c r="J56" s="74">
        <v>74.193459000000004</v>
      </c>
      <c r="K56" s="224" t="s">
        <v>710</v>
      </c>
      <c r="L56" s="233"/>
      <c r="M56" s="74">
        <v>7.35</v>
      </c>
      <c r="N56" s="75">
        <v>84</v>
      </c>
      <c r="O56" s="75">
        <v>3.8</v>
      </c>
      <c r="P56" s="74">
        <v>1200</v>
      </c>
      <c r="Q56" s="74">
        <v>8.0000000000000004E-4</v>
      </c>
      <c r="R56" s="74">
        <v>601</v>
      </c>
      <c r="S56" s="74">
        <v>0.59</v>
      </c>
      <c r="T56" s="74">
        <v>27.69</v>
      </c>
      <c r="U56" s="74">
        <v>532</v>
      </c>
      <c r="V56" s="235">
        <v>0.43</v>
      </c>
      <c r="W56" s="74">
        <v>588</v>
      </c>
      <c r="X56" s="74">
        <v>8.1999999999999993</v>
      </c>
      <c r="Y56" s="236">
        <v>42.9</v>
      </c>
      <c r="Z56" s="74">
        <v>2.5700000000000003</v>
      </c>
      <c r="AA56" s="183">
        <v>94.41</v>
      </c>
      <c r="AB56" s="183">
        <v>2.87</v>
      </c>
      <c r="AC56" s="233">
        <v>437.59</v>
      </c>
      <c r="AD56" s="233">
        <v>2.9999999999999997E-4</v>
      </c>
      <c r="AE56" s="233">
        <v>3.2000000000000002E-3</v>
      </c>
    </row>
    <row r="57" spans="1:31" ht="28.8" x14ac:dyDescent="0.3">
      <c r="A57" s="225">
        <v>14</v>
      </c>
      <c r="B57" s="233" t="s">
        <v>925</v>
      </c>
      <c r="C57" s="233"/>
      <c r="D57" s="234" t="s">
        <v>926</v>
      </c>
      <c r="E57" s="74">
        <v>225</v>
      </c>
      <c r="F57" s="237">
        <f t="shared" si="2"/>
        <v>75</v>
      </c>
      <c r="G57" s="74">
        <v>2016</v>
      </c>
      <c r="H57" s="74">
        <v>6</v>
      </c>
      <c r="I57" s="74">
        <v>17.123448</v>
      </c>
      <c r="J57" s="74">
        <v>74.191748000000004</v>
      </c>
      <c r="K57" s="224" t="s">
        <v>927</v>
      </c>
      <c r="L57" s="233"/>
      <c r="M57" s="74">
        <v>8.11</v>
      </c>
      <c r="N57" s="74">
        <v>42.6</v>
      </c>
      <c r="O57" s="74">
        <v>3.31</v>
      </c>
      <c r="P57" s="74">
        <v>1294</v>
      </c>
      <c r="Q57" s="74">
        <v>8.0000000000000004E-4</v>
      </c>
      <c r="R57" s="74">
        <v>647</v>
      </c>
      <c r="S57" s="74">
        <v>0.64</v>
      </c>
      <c r="T57" s="74">
        <v>27.45</v>
      </c>
      <c r="U57" s="74">
        <v>528</v>
      </c>
      <c r="V57" s="235">
        <v>0.83</v>
      </c>
      <c r="W57" s="74">
        <v>471</v>
      </c>
      <c r="X57" s="74">
        <v>5.4</v>
      </c>
      <c r="Y57" s="236">
        <v>62.1</v>
      </c>
      <c r="Z57" s="74">
        <v>3.8</v>
      </c>
      <c r="AA57" s="183">
        <v>65.08</v>
      </c>
      <c r="AB57" s="183">
        <v>2.87</v>
      </c>
      <c r="AC57" s="233">
        <v>462.92</v>
      </c>
      <c r="AD57" s="233">
        <v>2.0000000000000001E-4</v>
      </c>
      <c r="AE57" s="233">
        <v>4.3E-3</v>
      </c>
    </row>
    <row r="58" spans="1:31" ht="28.8" x14ac:dyDescent="0.3">
      <c r="A58" s="225">
        <v>15</v>
      </c>
      <c r="B58" s="233" t="s">
        <v>928</v>
      </c>
      <c r="C58" s="233"/>
      <c r="D58" s="234" t="s">
        <v>929</v>
      </c>
      <c r="E58" s="74">
        <v>40</v>
      </c>
      <c r="F58" s="238">
        <f t="shared" si="2"/>
        <v>13.333333333333334</v>
      </c>
      <c r="G58" s="74">
        <v>1980</v>
      </c>
      <c r="H58" s="74">
        <v>4</v>
      </c>
      <c r="I58" s="74">
        <v>17.124835999999998</v>
      </c>
      <c r="J58" s="74">
        <v>74.191485</v>
      </c>
      <c r="K58" s="224" t="s">
        <v>846</v>
      </c>
      <c r="L58" s="233"/>
      <c r="M58" s="75">
        <v>7.2</v>
      </c>
      <c r="N58" s="75">
        <v>79</v>
      </c>
      <c r="O58" s="75">
        <v>4.0999999999999996</v>
      </c>
      <c r="P58" s="74">
        <v>1250</v>
      </c>
      <c r="Q58" s="74">
        <v>8.0000000000000004E-4</v>
      </c>
      <c r="R58" s="74">
        <v>625</v>
      </c>
      <c r="S58" s="74">
        <v>0.62</v>
      </c>
      <c r="T58" s="74">
        <v>28.07</v>
      </c>
      <c r="U58" s="74">
        <v>248</v>
      </c>
      <c r="V58" s="235">
        <v>0.43</v>
      </c>
      <c r="W58" s="74">
        <v>1012</v>
      </c>
      <c r="X58" s="74">
        <v>7.1</v>
      </c>
      <c r="Y58" s="236">
        <v>57.4</v>
      </c>
      <c r="Z58" s="74">
        <v>12.709999999999999</v>
      </c>
      <c r="AA58" s="183">
        <v>98.16</v>
      </c>
      <c r="AB58" s="183">
        <v>2.85</v>
      </c>
      <c r="AC58" s="233">
        <v>149.84</v>
      </c>
      <c r="AD58" s="233">
        <v>1E-4</v>
      </c>
      <c r="AE58" s="233">
        <v>2.3E-3</v>
      </c>
    </row>
    <row r="59" spans="1:31" x14ac:dyDescent="0.3">
      <c r="A59" s="225">
        <v>16</v>
      </c>
      <c r="B59" s="233" t="s">
        <v>930</v>
      </c>
      <c r="C59" s="233"/>
      <c r="D59" s="234" t="s">
        <v>931</v>
      </c>
      <c r="E59" s="74">
        <v>100</v>
      </c>
      <c r="F59" s="238">
        <f t="shared" si="2"/>
        <v>33.333333333333336</v>
      </c>
      <c r="G59" s="74">
        <v>1990</v>
      </c>
      <c r="H59" s="74">
        <v>7</v>
      </c>
      <c r="I59" s="74">
        <v>17.122043999999999</v>
      </c>
      <c r="J59" s="74">
        <v>74.189978999999994</v>
      </c>
      <c r="K59" s="224" t="s">
        <v>855</v>
      </c>
      <c r="L59" s="233"/>
      <c r="M59" s="74">
        <v>7.29</v>
      </c>
      <c r="N59" s="74">
        <v>79.5</v>
      </c>
      <c r="O59" s="74">
        <v>3.65</v>
      </c>
      <c r="P59" s="74">
        <v>1095</v>
      </c>
      <c r="Q59" s="74">
        <v>8.9999999999999998E-4</v>
      </c>
      <c r="R59" s="74">
        <v>549</v>
      </c>
      <c r="S59" s="74">
        <v>0.54</v>
      </c>
      <c r="T59" s="74">
        <v>27.72</v>
      </c>
      <c r="U59" s="74">
        <v>440</v>
      </c>
      <c r="V59" s="235">
        <v>0.91</v>
      </c>
      <c r="W59" s="74">
        <v>812</v>
      </c>
      <c r="X59" s="74">
        <v>6.1</v>
      </c>
      <c r="Y59" s="236">
        <v>69.3</v>
      </c>
      <c r="Z59" s="74">
        <v>5.57</v>
      </c>
      <c r="AA59" s="183">
        <v>106.77</v>
      </c>
      <c r="AB59" s="183">
        <v>2.85</v>
      </c>
      <c r="AC59" s="233">
        <v>333.23</v>
      </c>
      <c r="AD59" s="233">
        <v>4.0000000000000002E-4</v>
      </c>
      <c r="AE59" s="233">
        <v>3.8E-3</v>
      </c>
    </row>
    <row r="60" spans="1:31" ht="28.8" x14ac:dyDescent="0.3">
      <c r="A60" s="225">
        <v>17</v>
      </c>
      <c r="B60" s="233" t="s">
        <v>932</v>
      </c>
      <c r="C60" s="233"/>
      <c r="D60" s="234" t="s">
        <v>933</v>
      </c>
      <c r="E60" s="74">
        <v>35</v>
      </c>
      <c r="F60" s="238">
        <f t="shared" si="2"/>
        <v>11.666666666666666</v>
      </c>
      <c r="G60" s="74">
        <v>1988</v>
      </c>
      <c r="H60" s="74">
        <v>3</v>
      </c>
      <c r="I60" s="74">
        <v>17.122959000000002</v>
      </c>
      <c r="J60" s="74">
        <v>74.187894999999997</v>
      </c>
      <c r="K60" s="224" t="s">
        <v>934</v>
      </c>
      <c r="L60" s="233"/>
      <c r="M60" s="74">
        <v>7.45</v>
      </c>
      <c r="N60" s="74">
        <v>68</v>
      </c>
      <c r="O60" s="74">
        <v>3.65</v>
      </c>
      <c r="P60" s="74">
        <v>1105</v>
      </c>
      <c r="Q60" s="74">
        <v>8.9999999999999998E-4</v>
      </c>
      <c r="R60" s="74">
        <v>552</v>
      </c>
      <c r="S60" s="74">
        <v>0.54</v>
      </c>
      <c r="T60" s="74">
        <v>27.75</v>
      </c>
      <c r="U60" s="74">
        <v>480</v>
      </c>
      <c r="V60" s="235">
        <v>1.03</v>
      </c>
      <c r="W60" s="74">
        <v>920</v>
      </c>
      <c r="X60" s="74">
        <v>8.1999999999999993</v>
      </c>
      <c r="Y60" s="236">
        <v>176.3</v>
      </c>
      <c r="Z60" s="74">
        <v>11.04</v>
      </c>
      <c r="AA60" s="183">
        <v>75.569999999999993</v>
      </c>
      <c r="AB60" s="183">
        <v>2.87</v>
      </c>
      <c r="AC60" s="233">
        <v>404.43</v>
      </c>
      <c r="AD60" s="233">
        <v>4.0000000000000002E-4</v>
      </c>
      <c r="AE60" s="233">
        <v>4.4000000000000003E-3</v>
      </c>
    </row>
    <row r="61" spans="1:31" x14ac:dyDescent="0.3">
      <c r="A61" s="225">
        <v>18</v>
      </c>
      <c r="B61" s="233" t="s">
        <v>935</v>
      </c>
      <c r="C61" s="233"/>
      <c r="D61" s="234" t="s">
        <v>936</v>
      </c>
      <c r="E61" s="74">
        <v>145</v>
      </c>
      <c r="F61" s="238">
        <f t="shared" si="2"/>
        <v>48.333333333333336</v>
      </c>
      <c r="G61" s="74">
        <v>2012</v>
      </c>
      <c r="H61" s="74">
        <v>2</v>
      </c>
      <c r="I61" s="74">
        <v>17.126245999999998</v>
      </c>
      <c r="J61" s="74">
        <v>74.190763000000004</v>
      </c>
      <c r="K61" s="224" t="s">
        <v>710</v>
      </c>
      <c r="L61" s="233"/>
      <c r="M61" s="75">
        <v>8.08</v>
      </c>
      <c r="N61" s="74">
        <v>56</v>
      </c>
      <c r="O61" s="74">
        <v>4.04</v>
      </c>
      <c r="P61" s="74">
        <v>398</v>
      </c>
      <c r="Q61" s="74">
        <v>2.5000000000000001E-3</v>
      </c>
      <c r="R61" s="74">
        <v>199</v>
      </c>
      <c r="S61" s="74">
        <v>0.19</v>
      </c>
      <c r="T61" s="74">
        <v>27.8</v>
      </c>
      <c r="U61" s="74">
        <v>432</v>
      </c>
      <c r="V61" s="235">
        <v>0.72</v>
      </c>
      <c r="W61" s="74">
        <v>761</v>
      </c>
      <c r="X61" s="74">
        <v>7.7</v>
      </c>
      <c r="Y61" s="236">
        <v>52.8</v>
      </c>
      <c r="Z61" s="74">
        <v>1.47</v>
      </c>
      <c r="AA61" s="183">
        <v>85.35</v>
      </c>
      <c r="AB61" s="183">
        <v>2.95</v>
      </c>
      <c r="AC61" s="233">
        <v>346.65</v>
      </c>
      <c r="AD61" s="233">
        <v>1E-4</v>
      </c>
      <c r="AE61" s="233">
        <v>3.5999999999999999E-3</v>
      </c>
    </row>
    <row r="62" spans="1:31" ht="28.8" x14ac:dyDescent="0.3">
      <c r="A62" s="225">
        <v>19</v>
      </c>
      <c r="B62" s="233" t="s">
        <v>937</v>
      </c>
      <c r="C62" s="233"/>
      <c r="D62" s="234" t="s">
        <v>938</v>
      </c>
      <c r="E62" s="74">
        <v>180</v>
      </c>
      <c r="F62" s="238">
        <f t="shared" si="2"/>
        <v>60</v>
      </c>
      <c r="G62" s="74">
        <v>2022</v>
      </c>
      <c r="H62" s="74">
        <v>12</v>
      </c>
      <c r="I62" s="74">
        <v>17.127209000000001</v>
      </c>
      <c r="J62" s="74">
        <v>74.189384000000004</v>
      </c>
      <c r="K62" s="224" t="s">
        <v>939</v>
      </c>
      <c r="L62" s="233"/>
      <c r="M62" s="74">
        <v>7.35</v>
      </c>
      <c r="N62" s="74">
        <v>82</v>
      </c>
      <c r="O62" s="74">
        <v>3.9</v>
      </c>
      <c r="P62" s="74">
        <v>2050</v>
      </c>
      <c r="Q62" s="74">
        <v>5.0000000000000001E-4</v>
      </c>
      <c r="R62" s="74">
        <v>1025</v>
      </c>
      <c r="S62" s="74">
        <v>1.04</v>
      </c>
      <c r="T62" s="74">
        <v>27.83</v>
      </c>
      <c r="U62" s="74">
        <v>320</v>
      </c>
      <c r="V62" s="235">
        <v>0.56000000000000005</v>
      </c>
      <c r="W62" s="74">
        <v>649</v>
      </c>
      <c r="X62" s="74">
        <v>4.9000000000000004</v>
      </c>
      <c r="Y62" s="236">
        <v>75.2</v>
      </c>
      <c r="Z62" s="74">
        <v>0.89</v>
      </c>
      <c r="AA62" s="183">
        <v>53.68</v>
      </c>
      <c r="AB62" s="183">
        <v>2.96</v>
      </c>
      <c r="AC62" s="233">
        <v>266.32</v>
      </c>
      <c r="AD62" s="233">
        <v>2.9999999999999997E-4</v>
      </c>
      <c r="AE62" s="233">
        <v>1.06E-2</v>
      </c>
    </row>
    <row r="63" spans="1:31" x14ac:dyDescent="0.3">
      <c r="A63" s="225">
        <v>20</v>
      </c>
      <c r="B63" s="233" t="s">
        <v>940</v>
      </c>
      <c r="C63" s="233"/>
      <c r="D63" s="234" t="s">
        <v>941</v>
      </c>
      <c r="E63" s="74">
        <v>200</v>
      </c>
      <c r="F63" s="238">
        <f t="shared" si="2"/>
        <v>66.666666666666671</v>
      </c>
      <c r="G63" s="74">
        <v>2010</v>
      </c>
      <c r="H63" s="74">
        <v>5</v>
      </c>
      <c r="I63" s="74">
        <v>17.128592999999999</v>
      </c>
      <c r="J63" s="74">
        <v>74.188719000000006</v>
      </c>
      <c r="K63" s="224" t="s">
        <v>855</v>
      </c>
      <c r="L63" s="233"/>
      <c r="M63" s="74">
        <v>7.81</v>
      </c>
      <c r="N63" s="74">
        <v>45.4</v>
      </c>
      <c r="O63" s="74">
        <v>3.33</v>
      </c>
      <c r="P63" s="74">
        <v>1830</v>
      </c>
      <c r="Q63" s="74">
        <v>5.0000000000000001E-4</v>
      </c>
      <c r="R63" s="74">
        <v>914</v>
      </c>
      <c r="S63" s="74">
        <v>0.92</v>
      </c>
      <c r="T63" s="74">
        <v>27.85</v>
      </c>
      <c r="U63" s="74">
        <v>380</v>
      </c>
      <c r="V63" s="235">
        <v>0.84</v>
      </c>
      <c r="W63" s="74">
        <v>655</v>
      </c>
      <c r="X63" s="74">
        <v>6.6</v>
      </c>
      <c r="Y63" s="236">
        <v>112.6</v>
      </c>
      <c r="Z63" s="74">
        <v>33.89</v>
      </c>
      <c r="AA63" s="183">
        <v>90.71</v>
      </c>
      <c r="AB63" s="183">
        <v>2.87</v>
      </c>
      <c r="AC63" s="233">
        <v>289.29000000000002</v>
      </c>
      <c r="AD63" s="233">
        <v>4.0000000000000002E-4</v>
      </c>
      <c r="AE63" s="233">
        <v>2.7000000000000001E-3</v>
      </c>
    </row>
    <row r="64" spans="1:31" ht="28.8" x14ac:dyDescent="0.3">
      <c r="A64" s="225">
        <v>21</v>
      </c>
      <c r="B64" s="233" t="s">
        <v>942</v>
      </c>
      <c r="C64" s="233"/>
      <c r="D64" s="234" t="s">
        <v>943</v>
      </c>
      <c r="E64" s="74">
        <v>160</v>
      </c>
      <c r="F64" s="238">
        <f t="shared" si="2"/>
        <v>53.333333333333336</v>
      </c>
      <c r="G64" s="74">
        <v>2017</v>
      </c>
      <c r="H64" s="74">
        <v>4</v>
      </c>
      <c r="I64" s="74">
        <v>17.127497999999999</v>
      </c>
      <c r="J64" s="74">
        <v>74.186843999999994</v>
      </c>
      <c r="K64" s="224" t="s">
        <v>944</v>
      </c>
      <c r="L64" s="233"/>
      <c r="M64" s="74">
        <v>7.31</v>
      </c>
      <c r="N64" s="74">
        <v>92</v>
      </c>
      <c r="O64" s="74">
        <v>4.03</v>
      </c>
      <c r="P64" s="74">
        <v>729</v>
      </c>
      <c r="Q64" s="74">
        <v>1.4E-3</v>
      </c>
      <c r="R64" s="74">
        <v>365</v>
      </c>
      <c r="S64" s="74">
        <v>0.35</v>
      </c>
      <c r="T64" s="74">
        <v>27.81</v>
      </c>
      <c r="U64" s="74">
        <v>500</v>
      </c>
      <c r="V64" s="235">
        <v>0.48</v>
      </c>
      <c r="W64" s="74">
        <v>485</v>
      </c>
      <c r="X64" s="74">
        <v>4.8</v>
      </c>
      <c r="Y64" s="236">
        <v>53.9</v>
      </c>
      <c r="Z64" s="74">
        <v>2.5099999999999998</v>
      </c>
      <c r="AA64" s="183">
        <v>122.37</v>
      </c>
      <c r="AB64" s="183">
        <v>3</v>
      </c>
      <c r="AC64" s="233">
        <v>377.63</v>
      </c>
      <c r="AD64" s="233">
        <v>2.9999999999999997E-4</v>
      </c>
      <c r="AE64" s="233">
        <v>3.2000000000000002E-3</v>
      </c>
    </row>
    <row r="65" spans="1:31" x14ac:dyDescent="0.3">
      <c r="A65" s="225">
        <v>22</v>
      </c>
      <c r="B65" s="233" t="s">
        <v>945</v>
      </c>
      <c r="C65" s="233"/>
      <c r="D65" s="234" t="s">
        <v>946</v>
      </c>
      <c r="E65" s="74">
        <v>200</v>
      </c>
      <c r="F65" s="238">
        <f t="shared" si="2"/>
        <v>66.666666666666671</v>
      </c>
      <c r="G65" s="74">
        <v>2018</v>
      </c>
      <c r="H65" s="74">
        <v>5</v>
      </c>
      <c r="I65" s="74">
        <v>17.125883999999999</v>
      </c>
      <c r="J65" s="74">
        <v>74.187370999999999</v>
      </c>
      <c r="K65" s="224" t="s">
        <v>710</v>
      </c>
      <c r="L65" s="233"/>
      <c r="M65" s="74">
        <v>7.31</v>
      </c>
      <c r="N65" s="74">
        <v>97.5</v>
      </c>
      <c r="O65" s="74">
        <v>4.3</v>
      </c>
      <c r="P65" s="74">
        <v>1215</v>
      </c>
      <c r="Q65" s="74">
        <v>8.0000000000000004E-4</v>
      </c>
      <c r="R65" s="74">
        <v>609</v>
      </c>
      <c r="S65" s="74">
        <v>0.6</v>
      </c>
      <c r="T65" s="74">
        <v>27.53</v>
      </c>
      <c r="U65" s="74">
        <v>320</v>
      </c>
      <c r="V65" s="235">
        <v>0.41</v>
      </c>
      <c r="W65" s="74">
        <v>680</v>
      </c>
      <c r="X65" s="74">
        <v>8.3000000000000007</v>
      </c>
      <c r="Y65" s="236">
        <v>51.8</v>
      </c>
      <c r="Z65" s="74">
        <v>0.77</v>
      </c>
      <c r="AA65" s="183">
        <v>98.61</v>
      </c>
      <c r="AB65" s="183">
        <v>2.87</v>
      </c>
      <c r="AC65" s="233">
        <v>221.39</v>
      </c>
      <c r="AD65" s="233">
        <v>2.0000000000000001E-4</v>
      </c>
      <c r="AE65" s="233">
        <v>1.3599999999999999E-2</v>
      </c>
    </row>
    <row r="66" spans="1:31" x14ac:dyDescent="0.3">
      <c r="A66" s="225">
        <v>23</v>
      </c>
      <c r="B66" s="233" t="s">
        <v>947</v>
      </c>
      <c r="C66" s="233"/>
      <c r="D66" s="234" t="s">
        <v>948</v>
      </c>
      <c r="E66" s="74">
        <v>150</v>
      </c>
      <c r="F66" s="238">
        <f t="shared" si="2"/>
        <v>50</v>
      </c>
      <c r="G66" s="74" t="s">
        <v>854</v>
      </c>
      <c r="H66" s="74">
        <v>4</v>
      </c>
      <c r="I66" s="74">
        <v>17.125748000000002</v>
      </c>
      <c r="J66" s="74">
        <v>74.184595000000002</v>
      </c>
      <c r="K66" s="224" t="s">
        <v>822</v>
      </c>
      <c r="L66" s="233"/>
      <c r="M66" s="75">
        <v>8.3000000000000007</v>
      </c>
      <c r="N66" s="74">
        <v>37.200000000000003</v>
      </c>
      <c r="O66" s="74">
        <v>3.87</v>
      </c>
      <c r="P66" s="74">
        <v>287</v>
      </c>
      <c r="Q66" s="74">
        <v>3.5000000000000001E-3</v>
      </c>
      <c r="R66" s="74">
        <v>144</v>
      </c>
      <c r="S66" s="74">
        <v>0.14000000000000001</v>
      </c>
      <c r="T66" s="74">
        <v>27.73</v>
      </c>
      <c r="U66" s="74">
        <v>392</v>
      </c>
      <c r="V66" s="235">
        <v>0.16</v>
      </c>
      <c r="W66" s="74">
        <v>394</v>
      </c>
      <c r="X66" s="74">
        <v>5.0999999999999996</v>
      </c>
      <c r="Y66" s="236">
        <v>78.900000000000006</v>
      </c>
      <c r="Z66" s="74">
        <v>0.77</v>
      </c>
      <c r="AA66" s="183">
        <v>85.78</v>
      </c>
      <c r="AB66" s="183">
        <v>3.22</v>
      </c>
      <c r="AC66" s="233">
        <v>306.22000000000003</v>
      </c>
      <c r="AD66" s="233">
        <v>2.9999999999999997E-4</v>
      </c>
      <c r="AE66" s="233">
        <v>5.1999999999999998E-3</v>
      </c>
    </row>
    <row r="67" spans="1:31" x14ac:dyDescent="0.3">
      <c r="A67" s="225">
        <v>24</v>
      </c>
      <c r="B67" s="233" t="s">
        <v>949</v>
      </c>
      <c r="C67" s="233"/>
      <c r="D67" s="234" t="s">
        <v>948</v>
      </c>
      <c r="E67" s="74">
        <v>120</v>
      </c>
      <c r="F67" s="238">
        <f t="shared" si="2"/>
        <v>40</v>
      </c>
      <c r="G67" s="74" t="s">
        <v>854</v>
      </c>
      <c r="H67" s="74">
        <v>5</v>
      </c>
      <c r="I67" s="74">
        <v>17.123396</v>
      </c>
      <c r="J67" s="74">
        <v>74.188939000000005</v>
      </c>
      <c r="K67" s="224" t="s">
        <v>822</v>
      </c>
      <c r="L67" s="233"/>
      <c r="M67" s="75">
        <v>7.5</v>
      </c>
      <c r="N67" s="75">
        <v>57.5</v>
      </c>
      <c r="O67" s="75">
        <v>3.7</v>
      </c>
      <c r="P67" s="74">
        <v>262</v>
      </c>
      <c r="Q67" s="74">
        <v>3.8E-3</v>
      </c>
      <c r="R67" s="74">
        <v>127</v>
      </c>
      <c r="S67" s="74">
        <v>2.12</v>
      </c>
      <c r="T67" s="74">
        <v>27.7</v>
      </c>
      <c r="U67" s="74">
        <v>292</v>
      </c>
      <c r="V67" s="235">
        <v>0</v>
      </c>
      <c r="W67" s="74">
        <v>768</v>
      </c>
      <c r="X67" s="74">
        <v>6.5</v>
      </c>
      <c r="Y67" s="236">
        <v>65.400000000000006</v>
      </c>
      <c r="Z67" s="74">
        <v>0.77</v>
      </c>
      <c r="AA67" s="183">
        <v>113.76</v>
      </c>
      <c r="AB67" s="183">
        <v>2.96</v>
      </c>
      <c r="AC67" s="233">
        <v>178.24</v>
      </c>
      <c r="AD67" s="233">
        <v>1E-4</v>
      </c>
      <c r="AE67" s="233">
        <v>3.8999999999999998E-3</v>
      </c>
    </row>
    <row r="68" spans="1:31" x14ac:dyDescent="0.3">
      <c r="A68" s="225">
        <v>25</v>
      </c>
      <c r="B68" s="233" t="s">
        <v>950</v>
      </c>
      <c r="C68" s="233"/>
      <c r="D68" s="234" t="s">
        <v>951</v>
      </c>
      <c r="E68" s="74">
        <v>250</v>
      </c>
      <c r="F68" s="237">
        <f t="shared" si="2"/>
        <v>83.333333333333329</v>
      </c>
      <c r="G68" s="74">
        <v>2022</v>
      </c>
      <c r="H68" s="74">
        <v>5</v>
      </c>
      <c r="I68" s="74">
        <v>17.050521</v>
      </c>
      <c r="J68" s="74">
        <v>74.267191999999994</v>
      </c>
      <c r="K68" s="224" t="s">
        <v>822</v>
      </c>
      <c r="L68" s="233"/>
      <c r="M68" s="74">
        <v>7.95</v>
      </c>
      <c r="N68" s="74">
        <v>55.2</v>
      </c>
      <c r="O68" s="74">
        <v>3.77</v>
      </c>
      <c r="P68" s="74">
        <v>660</v>
      </c>
      <c r="Q68" s="74">
        <v>1.5E-3</v>
      </c>
      <c r="R68" s="74">
        <v>325</v>
      </c>
      <c r="S68" s="74">
        <v>0.32</v>
      </c>
      <c r="T68" s="74">
        <v>27.81</v>
      </c>
      <c r="U68" s="74">
        <v>492</v>
      </c>
      <c r="V68" s="235">
        <v>0.32</v>
      </c>
      <c r="W68" s="74">
        <v>746</v>
      </c>
      <c r="X68" s="74">
        <v>7.4</v>
      </c>
      <c r="Y68" s="236">
        <v>57.3</v>
      </c>
      <c r="Z68" s="74">
        <v>1.56</v>
      </c>
      <c r="AA68" s="183">
        <v>58.83</v>
      </c>
      <c r="AB68" s="183">
        <v>3</v>
      </c>
      <c r="AC68" s="233">
        <v>433.17</v>
      </c>
      <c r="AD68" s="233">
        <v>2.9999999999999997E-4</v>
      </c>
      <c r="AE68" s="233">
        <v>6.8999999999999999E-3</v>
      </c>
    </row>
    <row r="69" spans="1:31" x14ac:dyDescent="0.3">
      <c r="A69" s="225">
        <v>26</v>
      </c>
      <c r="B69" s="233" t="s">
        <v>952</v>
      </c>
      <c r="C69" s="233"/>
      <c r="D69" s="234" t="s">
        <v>953</v>
      </c>
      <c r="E69" s="74">
        <v>50</v>
      </c>
      <c r="F69" s="238">
        <f t="shared" si="2"/>
        <v>16.666666666666668</v>
      </c>
      <c r="G69" s="74">
        <v>2001</v>
      </c>
      <c r="H69" s="74">
        <v>7</v>
      </c>
      <c r="I69" s="74">
        <v>17.052633</v>
      </c>
      <c r="J69" s="74">
        <v>74.258098000000004</v>
      </c>
      <c r="K69" s="224" t="s">
        <v>822</v>
      </c>
      <c r="L69" s="233"/>
      <c r="M69" s="74">
        <v>7.22</v>
      </c>
      <c r="N69" s="74">
        <v>78.5</v>
      </c>
      <c r="O69" s="74">
        <v>3.75</v>
      </c>
      <c r="P69" s="74">
        <v>1970</v>
      </c>
      <c r="Q69" s="74">
        <v>5.0000000000000001E-4</v>
      </c>
      <c r="R69" s="74">
        <v>985</v>
      </c>
      <c r="S69" s="74">
        <v>1</v>
      </c>
      <c r="T69" s="74">
        <v>27.85</v>
      </c>
      <c r="U69" s="74">
        <v>360</v>
      </c>
      <c r="V69" s="235">
        <v>0.65</v>
      </c>
      <c r="W69" s="74">
        <v>1160</v>
      </c>
      <c r="X69" s="74">
        <v>26</v>
      </c>
      <c r="Y69" s="236">
        <v>58.4</v>
      </c>
      <c r="Z69" s="74">
        <v>22.21</v>
      </c>
      <c r="AA69" s="183">
        <v>66.52</v>
      </c>
      <c r="AB69" s="183">
        <v>2.96</v>
      </c>
      <c r="AC69" s="233">
        <v>293.48</v>
      </c>
      <c r="AD69" s="233">
        <v>5.0000000000000001E-4</v>
      </c>
      <c r="AE69" s="233">
        <v>1.5800000000000002E-2</v>
      </c>
    </row>
    <row r="70" spans="1:31" x14ac:dyDescent="0.3">
      <c r="A70" s="225">
        <v>27</v>
      </c>
      <c r="B70" s="233" t="s">
        <v>954</v>
      </c>
      <c r="C70" s="233"/>
      <c r="D70" s="234" t="s">
        <v>955</v>
      </c>
      <c r="E70" s="74">
        <v>100</v>
      </c>
      <c r="F70" s="238">
        <f t="shared" si="2"/>
        <v>33.333333333333336</v>
      </c>
      <c r="G70" s="74">
        <v>1997</v>
      </c>
      <c r="H70" s="74">
        <v>6</v>
      </c>
      <c r="I70" s="74">
        <v>17.044720999999999</v>
      </c>
      <c r="J70" s="74">
        <v>74.269148000000001</v>
      </c>
      <c r="K70" s="224" t="s">
        <v>822</v>
      </c>
      <c r="L70" s="233"/>
      <c r="M70" s="75">
        <v>7.1</v>
      </c>
      <c r="N70" s="75">
        <v>82</v>
      </c>
      <c r="O70" s="75">
        <v>3.7</v>
      </c>
      <c r="P70" s="74">
        <v>2049</v>
      </c>
      <c r="Q70" s="74">
        <v>5.0000000000000001E-4</v>
      </c>
      <c r="R70" s="74">
        <v>1020</v>
      </c>
      <c r="S70" s="74">
        <v>1.04</v>
      </c>
      <c r="T70" s="74">
        <v>28.08</v>
      </c>
      <c r="U70" s="74">
        <v>296</v>
      </c>
      <c r="V70" s="235">
        <v>0.22</v>
      </c>
      <c r="W70" s="74">
        <v>846</v>
      </c>
      <c r="X70" s="74">
        <v>4.9000000000000004</v>
      </c>
      <c r="Y70" s="236">
        <v>115.6</v>
      </c>
      <c r="Z70" s="74">
        <v>0.77</v>
      </c>
      <c r="AA70" s="183">
        <v>23.04</v>
      </c>
      <c r="AB70" s="183">
        <v>2.96</v>
      </c>
      <c r="AC70" s="233">
        <v>272.95999999999998</v>
      </c>
      <c r="AD70" s="233">
        <v>8.0000000000000004E-4</v>
      </c>
      <c r="AE70" s="233">
        <v>6.3E-3</v>
      </c>
    </row>
    <row r="71" spans="1:31" x14ac:dyDescent="0.3">
      <c r="A71" s="225">
        <v>28</v>
      </c>
      <c r="B71" s="233" t="s">
        <v>956</v>
      </c>
      <c r="C71" s="233"/>
      <c r="D71" s="234" t="s">
        <v>957</v>
      </c>
      <c r="E71" s="74">
        <v>140</v>
      </c>
      <c r="F71" s="238">
        <f t="shared" si="2"/>
        <v>46.666666666666664</v>
      </c>
      <c r="G71" s="74">
        <v>2002</v>
      </c>
      <c r="H71" s="74">
        <v>5</v>
      </c>
      <c r="I71" s="74">
        <v>17.070277999999998</v>
      </c>
      <c r="J71" s="74">
        <v>74.285118999999995</v>
      </c>
      <c r="K71" s="224" t="s">
        <v>822</v>
      </c>
      <c r="L71" s="233"/>
      <c r="M71" s="75">
        <v>7.5</v>
      </c>
      <c r="N71" s="75">
        <v>70</v>
      </c>
      <c r="O71" s="75">
        <v>4.0999999999999996</v>
      </c>
      <c r="P71" s="74">
        <v>2470</v>
      </c>
      <c r="Q71" s="74">
        <v>4.0000000000000002E-4</v>
      </c>
      <c r="R71" s="74">
        <v>1236</v>
      </c>
      <c r="S71" s="74">
        <v>1.27</v>
      </c>
      <c r="T71" s="74">
        <v>27.7</v>
      </c>
      <c r="U71" s="74">
        <v>384</v>
      </c>
      <c r="V71" s="235">
        <v>0.84</v>
      </c>
      <c r="W71" s="74">
        <v>749</v>
      </c>
      <c r="X71" s="74">
        <v>3.8</v>
      </c>
      <c r="Y71" s="236">
        <v>77.2</v>
      </c>
      <c r="Z71" s="74">
        <v>21.65</v>
      </c>
      <c r="AA71" s="183">
        <v>19.03</v>
      </c>
      <c r="AB71" s="183">
        <v>19.47</v>
      </c>
      <c r="AC71" s="233">
        <v>364.97</v>
      </c>
      <c r="AD71" s="233">
        <v>2.9999999999999997E-4</v>
      </c>
      <c r="AE71" s="233">
        <v>7.4000000000000003E-3</v>
      </c>
    </row>
    <row r="72" spans="1:31" x14ac:dyDescent="0.3">
      <c r="A72" s="225">
        <v>29</v>
      </c>
      <c r="B72" s="233" t="s">
        <v>958</v>
      </c>
      <c r="C72" s="233"/>
      <c r="D72" s="234" t="s">
        <v>890</v>
      </c>
      <c r="E72" s="74">
        <v>150</v>
      </c>
      <c r="F72" s="238">
        <f t="shared" si="2"/>
        <v>50</v>
      </c>
      <c r="G72" s="74">
        <v>2007</v>
      </c>
      <c r="H72" s="74">
        <v>3</v>
      </c>
      <c r="I72" s="74">
        <v>17.057462999999998</v>
      </c>
      <c r="J72" s="74">
        <v>74.276196999999996</v>
      </c>
      <c r="K72" s="224" t="s">
        <v>855</v>
      </c>
      <c r="L72" s="233"/>
      <c r="M72" s="74">
        <v>7.41</v>
      </c>
      <c r="N72" s="75">
        <v>65</v>
      </c>
      <c r="O72" s="75">
        <v>3.6</v>
      </c>
      <c r="P72" s="74">
        <v>1827</v>
      </c>
      <c r="Q72" s="74">
        <v>5.0000000000000001E-4</v>
      </c>
      <c r="R72" s="74">
        <v>914</v>
      </c>
      <c r="S72" s="74">
        <v>0.92</v>
      </c>
      <c r="T72" s="74">
        <v>27.82</v>
      </c>
      <c r="U72" s="74">
        <v>487</v>
      </c>
      <c r="V72" s="235">
        <v>0.75</v>
      </c>
      <c r="W72" s="74">
        <v>880</v>
      </c>
      <c r="X72" s="74">
        <v>7.8</v>
      </c>
      <c r="Y72" s="236">
        <v>167.4</v>
      </c>
      <c r="Z72" s="74">
        <v>12.35</v>
      </c>
      <c r="AA72" s="183">
        <v>99.62</v>
      </c>
      <c r="AB72" s="183">
        <v>2.96</v>
      </c>
      <c r="AC72" s="233">
        <v>387.38</v>
      </c>
      <c r="AD72" s="233">
        <v>1E-4</v>
      </c>
      <c r="AE72" s="233">
        <v>2.8E-3</v>
      </c>
    </row>
    <row r="73" spans="1:31" x14ac:dyDescent="0.3">
      <c r="A73" s="225">
        <v>30</v>
      </c>
      <c r="B73" s="233" t="s">
        <v>959</v>
      </c>
      <c r="C73" s="233"/>
      <c r="D73" s="234" t="s">
        <v>960</v>
      </c>
      <c r="E73" s="74">
        <v>100</v>
      </c>
      <c r="F73" s="238">
        <f t="shared" si="2"/>
        <v>33.333333333333336</v>
      </c>
      <c r="G73" s="74">
        <v>2005</v>
      </c>
      <c r="H73" s="74">
        <v>4</v>
      </c>
      <c r="I73" s="74">
        <v>17.058166</v>
      </c>
      <c r="J73" s="74">
        <v>74.279357000000005</v>
      </c>
      <c r="K73" s="224" t="s">
        <v>849</v>
      </c>
      <c r="L73" s="233"/>
      <c r="M73" s="74">
        <v>7.27</v>
      </c>
      <c r="N73" s="74">
        <v>81.099999999999994</v>
      </c>
      <c r="O73" s="74">
        <v>3.95</v>
      </c>
      <c r="P73" s="74">
        <v>1991</v>
      </c>
      <c r="Q73" s="74">
        <v>5.0000000000000001E-4</v>
      </c>
      <c r="R73" s="74">
        <v>997</v>
      </c>
      <c r="S73" s="74">
        <v>1.01</v>
      </c>
      <c r="T73" s="74">
        <v>28.38</v>
      </c>
      <c r="U73" s="74">
        <v>355</v>
      </c>
      <c r="V73" s="235">
        <v>0.48</v>
      </c>
      <c r="W73" s="74">
        <v>754</v>
      </c>
      <c r="X73" s="74">
        <v>17.899999999999999</v>
      </c>
      <c r="Y73" s="236">
        <v>97.5</v>
      </c>
      <c r="Z73" s="74">
        <v>9.9699999999999989</v>
      </c>
      <c r="AA73" s="183">
        <v>87.51</v>
      </c>
      <c r="AB73" s="183">
        <v>65.06</v>
      </c>
      <c r="AC73" s="233">
        <v>267.49</v>
      </c>
      <c r="AD73" s="233">
        <v>1E-4</v>
      </c>
      <c r="AE73" s="233">
        <v>2.7000000000000001E-3</v>
      </c>
    </row>
    <row r="74" spans="1:31" ht="28.8" x14ac:dyDescent="0.3">
      <c r="A74" s="225">
        <v>31</v>
      </c>
      <c r="B74" s="233" t="s">
        <v>961</v>
      </c>
      <c r="C74" s="233"/>
      <c r="D74" s="234" t="s">
        <v>962</v>
      </c>
      <c r="E74" s="74">
        <v>200</v>
      </c>
      <c r="F74" s="238">
        <f t="shared" si="2"/>
        <v>66.666666666666671</v>
      </c>
      <c r="G74" s="74">
        <v>2015</v>
      </c>
      <c r="H74" s="74">
        <v>10</v>
      </c>
      <c r="I74" s="74">
        <v>17.061392999999999</v>
      </c>
      <c r="J74" s="74">
        <v>74.276796000000004</v>
      </c>
      <c r="K74" s="224" t="s">
        <v>879</v>
      </c>
      <c r="L74" s="233"/>
      <c r="M74" s="75">
        <v>7.3</v>
      </c>
      <c r="N74" s="74">
        <v>81</v>
      </c>
      <c r="O74" s="74">
        <v>3.85</v>
      </c>
      <c r="P74" s="74">
        <v>1530</v>
      </c>
      <c r="Q74" s="74">
        <v>5.9999999999999995E-4</v>
      </c>
      <c r="R74" s="74">
        <v>795</v>
      </c>
      <c r="S74" s="75">
        <v>0.8</v>
      </c>
      <c r="T74" s="74">
        <v>27.7</v>
      </c>
      <c r="U74" s="74">
        <v>248</v>
      </c>
      <c r="V74" s="235">
        <v>0.41</v>
      </c>
      <c r="W74" s="75">
        <v>641</v>
      </c>
      <c r="X74" s="74">
        <v>13.4</v>
      </c>
      <c r="Y74" s="236">
        <v>52.9</v>
      </c>
      <c r="Z74" s="74">
        <v>3.4</v>
      </c>
      <c r="AA74" s="183">
        <v>35.65</v>
      </c>
      <c r="AB74" s="183">
        <v>3.61</v>
      </c>
      <c r="AC74" s="233">
        <v>212.35</v>
      </c>
      <c r="AD74" s="233">
        <v>1E-4</v>
      </c>
      <c r="AE74" s="233">
        <v>7.1000000000000004E-3</v>
      </c>
    </row>
    <row r="75" spans="1:31" x14ac:dyDescent="0.3">
      <c r="A75" s="225">
        <v>32</v>
      </c>
      <c r="B75" s="233" t="s">
        <v>963</v>
      </c>
      <c r="C75" s="233"/>
      <c r="D75" s="234" t="s">
        <v>964</v>
      </c>
      <c r="E75" s="74">
        <v>150</v>
      </c>
      <c r="F75" s="238">
        <f t="shared" si="2"/>
        <v>50</v>
      </c>
      <c r="G75" s="74">
        <v>2018</v>
      </c>
      <c r="H75" s="74">
        <v>4</v>
      </c>
      <c r="I75" s="74">
        <v>17.061616999999998</v>
      </c>
      <c r="J75" s="74">
        <v>74.280536999999995</v>
      </c>
      <c r="K75" s="224" t="s">
        <v>822</v>
      </c>
      <c r="L75" s="233"/>
      <c r="M75" s="74">
        <v>7.31</v>
      </c>
      <c r="N75" s="74">
        <v>97.5</v>
      </c>
      <c r="O75" s="74">
        <v>4.3</v>
      </c>
      <c r="P75" s="74">
        <v>1215</v>
      </c>
      <c r="Q75" s="74">
        <v>8.0000000000000004E-4</v>
      </c>
      <c r="R75" s="74">
        <v>609</v>
      </c>
      <c r="S75" s="74">
        <v>0.6</v>
      </c>
      <c r="T75" s="74">
        <v>27.53</v>
      </c>
      <c r="U75" s="74">
        <v>440</v>
      </c>
      <c r="V75" s="235">
        <v>0.7</v>
      </c>
      <c r="W75" s="74">
        <v>845</v>
      </c>
      <c r="X75" s="74">
        <v>11.8</v>
      </c>
      <c r="Y75" s="236">
        <v>154.19999999999999</v>
      </c>
      <c r="Z75" s="74">
        <v>1.19</v>
      </c>
      <c r="AA75" s="183">
        <v>58.62</v>
      </c>
      <c r="AB75" s="183">
        <v>2.96</v>
      </c>
      <c r="AC75" s="233">
        <v>381.38</v>
      </c>
      <c r="AD75" s="233">
        <v>2.9999999999999997E-4</v>
      </c>
      <c r="AE75" s="233">
        <v>5.5999999999999999E-3</v>
      </c>
    </row>
    <row r="76" spans="1:31" x14ac:dyDescent="0.3">
      <c r="A76" s="225">
        <v>33</v>
      </c>
      <c r="B76" s="233" t="s">
        <v>965</v>
      </c>
      <c r="C76" s="233"/>
      <c r="D76" s="234" t="s">
        <v>966</v>
      </c>
      <c r="E76" s="74">
        <v>200</v>
      </c>
      <c r="F76" s="238">
        <f t="shared" si="2"/>
        <v>66.666666666666671</v>
      </c>
      <c r="G76" s="74">
        <v>2016</v>
      </c>
      <c r="H76" s="74">
        <v>6</v>
      </c>
      <c r="I76" s="74">
        <v>17.062695000000001</v>
      </c>
      <c r="J76" s="74">
        <v>74.285759999999996</v>
      </c>
      <c r="K76" s="224" t="s">
        <v>855</v>
      </c>
      <c r="L76" s="233"/>
      <c r="M76" s="74">
        <v>7.31</v>
      </c>
      <c r="N76" s="74">
        <v>92</v>
      </c>
      <c r="O76" s="74">
        <v>4.03</v>
      </c>
      <c r="P76" s="74">
        <v>729</v>
      </c>
      <c r="Q76" s="74">
        <v>1.4E-3</v>
      </c>
      <c r="R76" s="74">
        <v>365</v>
      </c>
      <c r="S76" s="74">
        <v>0.35</v>
      </c>
      <c r="T76" s="74">
        <v>27.81</v>
      </c>
      <c r="U76" s="74">
        <v>212</v>
      </c>
      <c r="V76" s="235">
        <v>0.19</v>
      </c>
      <c r="W76" s="74">
        <v>674</v>
      </c>
      <c r="X76" s="74">
        <v>17.399999999999999</v>
      </c>
      <c r="Y76" s="236">
        <v>57.9</v>
      </c>
      <c r="Z76" s="74">
        <v>0.77</v>
      </c>
      <c r="AA76" s="183">
        <v>28.12</v>
      </c>
      <c r="AB76" s="183">
        <v>3.42</v>
      </c>
      <c r="AC76" s="233">
        <v>183.88</v>
      </c>
      <c r="AD76" s="233">
        <v>1E-4</v>
      </c>
      <c r="AE76" s="233">
        <v>4.0000000000000001E-3</v>
      </c>
    </row>
    <row r="77" spans="1:31" x14ac:dyDescent="0.3">
      <c r="A77" s="225">
        <v>34</v>
      </c>
      <c r="B77" s="233" t="s">
        <v>967</v>
      </c>
      <c r="C77" s="233"/>
      <c r="D77" s="234" t="s">
        <v>968</v>
      </c>
      <c r="E77" s="74">
        <v>130</v>
      </c>
      <c r="F77" s="238">
        <f t="shared" si="2"/>
        <v>43.333333333333336</v>
      </c>
      <c r="G77" s="74">
        <v>2007</v>
      </c>
      <c r="H77" s="74">
        <v>5</v>
      </c>
      <c r="I77" s="74">
        <v>17.008579999999998</v>
      </c>
      <c r="J77" s="74">
        <v>74.262225999999998</v>
      </c>
      <c r="K77" s="224" t="s">
        <v>710</v>
      </c>
      <c r="L77" s="233"/>
      <c r="M77" s="74">
        <v>7.35</v>
      </c>
      <c r="N77" s="74">
        <v>85</v>
      </c>
      <c r="O77" s="74">
        <v>3.94</v>
      </c>
      <c r="P77" s="74">
        <v>967</v>
      </c>
      <c r="Q77" s="74">
        <v>1E-3</v>
      </c>
      <c r="R77" s="74">
        <v>483</v>
      </c>
      <c r="S77" s="74">
        <v>0.47</v>
      </c>
      <c r="T77" s="74">
        <v>27.64</v>
      </c>
      <c r="U77" s="74">
        <v>328</v>
      </c>
      <c r="V77" s="235">
        <v>0.37</v>
      </c>
      <c r="W77" s="74">
        <v>1040</v>
      </c>
      <c r="X77" s="74">
        <v>6</v>
      </c>
      <c r="Y77" s="236">
        <v>64.900000000000006</v>
      </c>
      <c r="Z77" s="74">
        <v>2.9</v>
      </c>
      <c r="AA77" s="183">
        <v>90.55</v>
      </c>
      <c r="AB77" s="183">
        <v>3.37</v>
      </c>
      <c r="AC77" s="233">
        <v>237.45</v>
      </c>
      <c r="AD77" s="233">
        <v>1E-4</v>
      </c>
      <c r="AE77" s="233">
        <v>8.3999999999999995E-3</v>
      </c>
    </row>
    <row r="78" spans="1:31" x14ac:dyDescent="0.3">
      <c r="A78" s="225">
        <v>35</v>
      </c>
      <c r="B78" s="233" t="s">
        <v>969</v>
      </c>
      <c r="C78" s="233"/>
      <c r="D78" s="234" t="s">
        <v>970</v>
      </c>
      <c r="E78" s="74">
        <v>110</v>
      </c>
      <c r="F78" s="238">
        <f t="shared" si="2"/>
        <v>36.666666666666664</v>
      </c>
      <c r="G78" s="74">
        <v>2000</v>
      </c>
      <c r="H78" s="74">
        <v>7</v>
      </c>
      <c r="I78" s="74">
        <v>17.00337</v>
      </c>
      <c r="J78" s="74">
        <v>74.244979999999998</v>
      </c>
      <c r="K78" s="224" t="s">
        <v>855</v>
      </c>
      <c r="L78" s="233"/>
      <c r="M78" s="74">
        <v>7.46</v>
      </c>
      <c r="N78" s="74">
        <v>101.8</v>
      </c>
      <c r="O78" s="74">
        <v>4.34</v>
      </c>
      <c r="P78" s="74">
        <v>1418</v>
      </c>
      <c r="Q78" s="74">
        <v>6.9999999999999999E-4</v>
      </c>
      <c r="R78" s="74">
        <v>709</v>
      </c>
      <c r="S78" s="74">
        <v>0.71</v>
      </c>
      <c r="T78" s="74">
        <v>27.5</v>
      </c>
      <c r="U78" s="74">
        <v>512</v>
      </c>
      <c r="V78" s="235">
        <v>0.31</v>
      </c>
      <c r="W78" s="74">
        <v>460</v>
      </c>
      <c r="X78" s="74">
        <v>15.8</v>
      </c>
      <c r="Y78" s="236">
        <v>77.599999999999994</v>
      </c>
      <c r="Z78" s="74">
        <v>0.77</v>
      </c>
      <c r="AA78" s="183">
        <v>103.09</v>
      </c>
      <c r="AB78" s="183">
        <v>3.36</v>
      </c>
      <c r="AC78" s="233">
        <v>408.91</v>
      </c>
      <c r="AD78" s="233">
        <v>2.0000000000000001E-4</v>
      </c>
      <c r="AE78" s="233">
        <v>7.4000000000000003E-3</v>
      </c>
    </row>
    <row r="79" spans="1:31" ht="28.8" x14ac:dyDescent="0.3">
      <c r="A79" s="225">
        <v>36</v>
      </c>
      <c r="B79" s="233" t="s">
        <v>971</v>
      </c>
      <c r="C79" s="233"/>
      <c r="D79" s="234" t="s">
        <v>970</v>
      </c>
      <c r="E79" s="74">
        <v>180</v>
      </c>
      <c r="F79" s="238">
        <f t="shared" si="2"/>
        <v>60</v>
      </c>
      <c r="G79" s="74">
        <v>2012</v>
      </c>
      <c r="H79" s="74">
        <v>3</v>
      </c>
      <c r="I79" s="74">
        <v>17.006606000000001</v>
      </c>
      <c r="J79" s="74">
        <v>74.262224000000003</v>
      </c>
      <c r="K79" s="224" t="s">
        <v>934</v>
      </c>
      <c r="L79" s="233"/>
      <c r="M79" s="74">
        <v>7.35</v>
      </c>
      <c r="N79" s="74">
        <v>104.8</v>
      </c>
      <c r="O79" s="74">
        <v>4.3499999999999996</v>
      </c>
      <c r="P79" s="74">
        <v>862</v>
      </c>
      <c r="Q79" s="74">
        <v>1.1999999999999999E-3</v>
      </c>
      <c r="R79" s="74">
        <v>431</v>
      </c>
      <c r="S79" s="74">
        <v>0.42</v>
      </c>
      <c r="T79" s="74">
        <v>27.47</v>
      </c>
      <c r="U79" s="74">
        <v>564</v>
      </c>
      <c r="V79" s="235">
        <v>0.93</v>
      </c>
      <c r="W79" s="74">
        <v>544</v>
      </c>
      <c r="X79" s="74">
        <v>19.899999999999999</v>
      </c>
      <c r="Y79" s="236">
        <v>89.2</v>
      </c>
      <c r="Z79" s="74">
        <v>2.0499999999999998</v>
      </c>
      <c r="AA79" s="183">
        <v>25.97</v>
      </c>
      <c r="AB79" s="183">
        <v>5.1100000000000003</v>
      </c>
      <c r="AC79" s="233">
        <v>538.03</v>
      </c>
      <c r="AD79" s="233">
        <v>2.0000000000000001E-4</v>
      </c>
      <c r="AE79" s="233">
        <v>1.5E-3</v>
      </c>
    </row>
    <row r="80" spans="1:31" ht="28.8" x14ac:dyDescent="0.3">
      <c r="A80" s="225">
        <v>37</v>
      </c>
      <c r="B80" s="233" t="s">
        <v>972</v>
      </c>
      <c r="C80" s="233"/>
      <c r="D80" s="234" t="s">
        <v>973</v>
      </c>
      <c r="E80" s="74">
        <v>100</v>
      </c>
      <c r="F80" s="238">
        <f t="shared" si="2"/>
        <v>33.333333333333336</v>
      </c>
      <c r="G80" s="74">
        <v>2016</v>
      </c>
      <c r="H80" s="74">
        <v>4</v>
      </c>
      <c r="I80" s="74">
        <v>17.008579000000001</v>
      </c>
      <c r="J80" s="74">
        <v>74.263886999999997</v>
      </c>
      <c r="K80" s="224" t="s">
        <v>879</v>
      </c>
      <c r="L80" s="233"/>
      <c r="M80" s="74">
        <v>7.91</v>
      </c>
      <c r="N80" s="74">
        <v>64.3</v>
      </c>
      <c r="O80" s="74">
        <v>4.25</v>
      </c>
      <c r="P80" s="74">
        <v>163</v>
      </c>
      <c r="Q80" s="74">
        <v>6.1000000000000004E-3</v>
      </c>
      <c r="R80" s="74">
        <v>81</v>
      </c>
      <c r="S80" s="74">
        <v>8.0000000000000002E-3</v>
      </c>
      <c r="T80" s="74">
        <v>27.64</v>
      </c>
      <c r="U80" s="74">
        <v>280</v>
      </c>
      <c r="V80" s="235">
        <v>1.03</v>
      </c>
      <c r="W80" s="74">
        <v>627</v>
      </c>
      <c r="X80" s="74">
        <v>23.6</v>
      </c>
      <c r="Y80" s="236">
        <v>64.2</v>
      </c>
      <c r="Z80" s="74">
        <v>0.77</v>
      </c>
      <c r="AA80" s="183">
        <v>21.63</v>
      </c>
      <c r="AB80" s="183">
        <v>3.36</v>
      </c>
      <c r="AC80" s="233">
        <v>258.37</v>
      </c>
      <c r="AD80" s="233">
        <v>2.9999999999999997E-4</v>
      </c>
      <c r="AE80" s="233">
        <v>9.7000000000000003E-3</v>
      </c>
    </row>
    <row r="81" spans="1:31" ht="28.8" x14ac:dyDescent="0.3">
      <c r="A81" s="225">
        <v>38</v>
      </c>
      <c r="B81" s="233" t="s">
        <v>974</v>
      </c>
      <c r="C81" s="233"/>
      <c r="D81" s="234" t="s">
        <v>975</v>
      </c>
      <c r="E81" s="74">
        <v>100</v>
      </c>
      <c r="F81" s="238">
        <f t="shared" si="2"/>
        <v>33.333333333333336</v>
      </c>
      <c r="G81" s="74">
        <v>2015</v>
      </c>
      <c r="H81" s="74">
        <v>6</v>
      </c>
      <c r="I81" s="74">
        <v>17.003368999999999</v>
      </c>
      <c r="J81" s="74">
        <v>74.244981999999993</v>
      </c>
      <c r="K81" s="224" t="s">
        <v>976</v>
      </c>
      <c r="L81" s="233"/>
      <c r="M81" s="74">
        <v>7.88</v>
      </c>
      <c r="N81" s="74">
        <v>77.7</v>
      </c>
      <c r="O81" s="74">
        <v>3.87</v>
      </c>
      <c r="P81" s="74">
        <v>1256</v>
      </c>
      <c r="Q81" s="74">
        <v>8.0000000000000004E-4</v>
      </c>
      <c r="R81" s="74">
        <v>628</v>
      </c>
      <c r="S81" s="74">
        <v>0.62</v>
      </c>
      <c r="T81" s="74">
        <v>27.61</v>
      </c>
      <c r="U81" s="74">
        <v>80</v>
      </c>
      <c r="V81" s="235">
        <v>1.1000000000000001</v>
      </c>
      <c r="W81" s="74">
        <v>741</v>
      </c>
      <c r="X81" s="74">
        <v>21.3</v>
      </c>
      <c r="Y81" s="236">
        <v>123.7</v>
      </c>
      <c r="Z81" s="74">
        <v>6.3599999999999994</v>
      </c>
      <c r="AA81" s="183">
        <v>62.57</v>
      </c>
      <c r="AB81" s="183">
        <v>3.37</v>
      </c>
      <c r="AC81" s="233">
        <v>17.43</v>
      </c>
      <c r="AD81" s="233">
        <v>1E-4</v>
      </c>
      <c r="AE81" s="233">
        <v>9.4000000000000004E-3</v>
      </c>
    </row>
    <row r="82" spans="1:31" ht="28.8" x14ac:dyDescent="0.3">
      <c r="A82" s="225">
        <v>39</v>
      </c>
      <c r="B82" s="233" t="s">
        <v>977</v>
      </c>
      <c r="C82" s="233"/>
      <c r="D82" s="234" t="s">
        <v>978</v>
      </c>
      <c r="E82" s="74">
        <v>180</v>
      </c>
      <c r="F82" s="238">
        <f t="shared" si="2"/>
        <v>60</v>
      </c>
      <c r="G82" s="74">
        <v>2019</v>
      </c>
      <c r="H82" s="74">
        <v>5</v>
      </c>
      <c r="I82" s="74">
        <v>17.003855999999999</v>
      </c>
      <c r="J82" s="74">
        <v>74.244979999999998</v>
      </c>
      <c r="K82" s="224" t="s">
        <v>976</v>
      </c>
      <c r="L82" s="233"/>
      <c r="M82" s="74">
        <v>7.44</v>
      </c>
      <c r="N82" s="74">
        <v>74</v>
      </c>
      <c r="O82" s="74">
        <v>4.12</v>
      </c>
      <c r="P82" s="74">
        <v>1326</v>
      </c>
      <c r="Q82" s="74">
        <v>8.0000000000000002E-3</v>
      </c>
      <c r="R82" s="74">
        <v>663</v>
      </c>
      <c r="S82" s="74">
        <v>0.66</v>
      </c>
      <c r="T82" s="74">
        <v>28.05</v>
      </c>
      <c r="U82" s="74">
        <v>240</v>
      </c>
      <c r="V82" s="235">
        <v>0.85</v>
      </c>
      <c r="W82" s="74">
        <v>548</v>
      </c>
      <c r="X82" s="74">
        <v>18.399999999999999</v>
      </c>
      <c r="Y82" s="236">
        <v>118.3</v>
      </c>
      <c r="Z82" s="74">
        <v>4.71</v>
      </c>
      <c r="AA82" s="183">
        <v>85.65</v>
      </c>
      <c r="AB82" s="183">
        <v>3.4</v>
      </c>
      <c r="AC82" s="233">
        <v>154.35</v>
      </c>
      <c r="AD82" s="233">
        <v>1E-4</v>
      </c>
      <c r="AE82" s="233">
        <v>3.5999999999999999E-3</v>
      </c>
    </row>
    <row r="83" spans="1:31" ht="28.8" x14ac:dyDescent="0.3">
      <c r="A83" s="225">
        <v>40</v>
      </c>
      <c r="B83" s="233" t="s">
        <v>979</v>
      </c>
      <c r="C83" s="233"/>
      <c r="D83" s="234" t="s">
        <v>980</v>
      </c>
      <c r="E83" s="74">
        <v>40</v>
      </c>
      <c r="F83" s="238">
        <f t="shared" si="2"/>
        <v>13.333333333333334</v>
      </c>
      <c r="G83" s="74">
        <v>2004</v>
      </c>
      <c r="H83" s="74">
        <v>7</v>
      </c>
      <c r="I83" s="74">
        <v>17.073536000000001</v>
      </c>
      <c r="J83" s="74">
        <v>74.308249000000004</v>
      </c>
      <c r="K83" s="224" t="s">
        <v>846</v>
      </c>
      <c r="L83" s="233"/>
      <c r="M83" s="74">
        <v>7.51</v>
      </c>
      <c r="N83" s="74">
        <v>62</v>
      </c>
      <c r="O83" s="74">
        <v>2.27</v>
      </c>
      <c r="P83" s="74">
        <v>995</v>
      </c>
      <c r="Q83" s="74">
        <v>1E-3</v>
      </c>
      <c r="R83" s="74">
        <v>498</v>
      </c>
      <c r="S83" s="74">
        <v>0.49</v>
      </c>
      <c r="T83" s="74">
        <v>27.92</v>
      </c>
      <c r="U83" s="74">
        <v>364</v>
      </c>
      <c r="V83" s="235">
        <v>0.33</v>
      </c>
      <c r="W83" s="74">
        <v>635</v>
      </c>
      <c r="X83" s="74">
        <v>16.399999999999999</v>
      </c>
      <c r="Y83" s="236">
        <v>147.80000000000001</v>
      </c>
      <c r="Z83" s="74">
        <v>2.69</v>
      </c>
      <c r="AA83" s="183">
        <v>24.54</v>
      </c>
      <c r="AB83" s="183">
        <v>3.36</v>
      </c>
      <c r="AC83" s="233">
        <v>339.46</v>
      </c>
      <c r="AD83" s="233">
        <v>2.0000000000000001E-4</v>
      </c>
      <c r="AE83" s="233">
        <v>1.9E-3</v>
      </c>
    </row>
    <row r="84" spans="1:31" x14ac:dyDescent="0.3">
      <c r="A84" s="225">
        <v>41</v>
      </c>
      <c r="B84" s="233" t="s">
        <v>981</v>
      </c>
      <c r="C84" s="233"/>
      <c r="D84" s="234" t="s">
        <v>982</v>
      </c>
      <c r="E84" s="74">
        <v>100</v>
      </c>
      <c r="F84" s="238">
        <f t="shared" si="2"/>
        <v>33.333333333333336</v>
      </c>
      <c r="G84" s="74">
        <v>2009</v>
      </c>
      <c r="H84" s="74">
        <v>3</v>
      </c>
      <c r="I84" s="74">
        <v>17.073264000000002</v>
      </c>
      <c r="J84" s="74">
        <v>74.310419999999993</v>
      </c>
      <c r="K84" s="224" t="s">
        <v>855</v>
      </c>
      <c r="L84" s="233"/>
      <c r="M84" s="74">
        <v>7.35</v>
      </c>
      <c r="N84" s="74">
        <v>92</v>
      </c>
      <c r="O84" s="74">
        <v>3.45</v>
      </c>
      <c r="P84" s="74">
        <v>917</v>
      </c>
      <c r="Q84" s="74">
        <v>1.1000000000000001E-3</v>
      </c>
      <c r="R84" s="74">
        <v>458</v>
      </c>
      <c r="S84" s="74">
        <v>0.45</v>
      </c>
      <c r="T84" s="74">
        <v>27.96</v>
      </c>
      <c r="U84" s="74">
        <v>404</v>
      </c>
      <c r="V84" s="235">
        <v>0.27</v>
      </c>
      <c r="W84" s="74">
        <v>498</v>
      </c>
      <c r="X84" s="74">
        <v>17.2</v>
      </c>
      <c r="Y84" s="236">
        <v>53.6</v>
      </c>
      <c r="Z84" s="74">
        <v>2.95</v>
      </c>
      <c r="AA84" s="183">
        <v>67.22</v>
      </c>
      <c r="AB84" s="183">
        <v>3.38</v>
      </c>
      <c r="AC84" s="233">
        <v>336.78</v>
      </c>
      <c r="AD84" s="233">
        <v>6.9999999999999999E-4</v>
      </c>
      <c r="AE84" s="233">
        <v>4.0000000000000001E-3</v>
      </c>
    </row>
    <row r="85" spans="1:31" x14ac:dyDescent="0.3">
      <c r="A85" s="225">
        <v>42</v>
      </c>
      <c r="B85" s="233" t="s">
        <v>983</v>
      </c>
      <c r="C85" s="233"/>
      <c r="D85" s="234" t="s">
        <v>970</v>
      </c>
      <c r="E85" s="74">
        <v>150</v>
      </c>
      <c r="F85" s="238">
        <f t="shared" si="2"/>
        <v>50</v>
      </c>
      <c r="G85" s="74" t="s">
        <v>854</v>
      </c>
      <c r="H85" s="74">
        <v>2</v>
      </c>
      <c r="I85" s="74">
        <v>17.075731000000001</v>
      </c>
      <c r="J85" s="74">
        <v>74.315798999999998</v>
      </c>
      <c r="K85" s="224" t="s">
        <v>855</v>
      </c>
      <c r="L85" s="233"/>
      <c r="M85" s="74">
        <v>7.31</v>
      </c>
      <c r="N85" s="74">
        <v>92</v>
      </c>
      <c r="O85" s="74">
        <v>4.03</v>
      </c>
      <c r="P85" s="74">
        <v>729</v>
      </c>
      <c r="Q85" s="74">
        <v>1.4E-3</v>
      </c>
      <c r="R85" s="74">
        <v>365</v>
      </c>
      <c r="S85" s="74">
        <v>0.35</v>
      </c>
      <c r="T85" s="74">
        <v>27.81</v>
      </c>
      <c r="U85" s="74">
        <v>360</v>
      </c>
      <c r="V85" s="235">
        <v>0.62</v>
      </c>
      <c r="W85" s="74">
        <v>624</v>
      </c>
      <c r="X85" s="74">
        <v>13.4</v>
      </c>
      <c r="Y85" s="236">
        <v>67.2</v>
      </c>
      <c r="Z85" s="74">
        <v>6.1</v>
      </c>
      <c r="AA85" s="183">
        <v>97.79</v>
      </c>
      <c r="AB85" s="183">
        <v>3.35</v>
      </c>
      <c r="AC85" s="233">
        <v>262.20999999999998</v>
      </c>
      <c r="AD85" s="233">
        <v>2.0000000000000001E-4</v>
      </c>
      <c r="AE85" s="233">
        <v>3.0000000000000001E-3</v>
      </c>
    </row>
    <row r="86" spans="1:31" ht="28.8" x14ac:dyDescent="0.3">
      <c r="A86" s="225">
        <v>43</v>
      </c>
      <c r="B86" s="233" t="s">
        <v>984</v>
      </c>
      <c r="C86" s="233"/>
      <c r="D86" s="234" t="s">
        <v>985</v>
      </c>
      <c r="E86" s="74">
        <v>160</v>
      </c>
      <c r="F86" s="238">
        <f t="shared" si="2"/>
        <v>53.333333333333336</v>
      </c>
      <c r="G86" s="74">
        <v>2010</v>
      </c>
      <c r="H86" s="74">
        <v>8</v>
      </c>
      <c r="I86" s="74">
        <v>17.076153000000001</v>
      </c>
      <c r="J86" s="74">
        <v>74.318432999999999</v>
      </c>
      <c r="K86" s="224" t="s">
        <v>934</v>
      </c>
      <c r="L86" s="233"/>
      <c r="M86" s="74">
        <v>7.56</v>
      </c>
      <c r="N86" s="74">
        <v>65.3</v>
      </c>
      <c r="O86" s="74">
        <v>3.86</v>
      </c>
      <c r="P86" s="74">
        <v>1715</v>
      </c>
      <c r="Q86" s="74">
        <v>5.9999999999999995E-4</v>
      </c>
      <c r="R86" s="74">
        <v>850</v>
      </c>
      <c r="S86" s="74">
        <v>0.86</v>
      </c>
      <c r="T86" s="74">
        <v>27.8</v>
      </c>
      <c r="U86" s="74">
        <v>164</v>
      </c>
      <c r="V86" s="235">
        <v>0.23</v>
      </c>
      <c r="W86" s="74">
        <v>724</v>
      </c>
      <c r="X86" s="74">
        <v>17.399999999999999</v>
      </c>
      <c r="Y86" s="236">
        <v>95.7</v>
      </c>
      <c r="Z86" s="74">
        <v>27.21</v>
      </c>
      <c r="AA86" s="183">
        <v>55.65</v>
      </c>
      <c r="AB86" s="183">
        <v>3.37</v>
      </c>
      <c r="AC86" s="233">
        <v>108.35</v>
      </c>
      <c r="AD86" s="233">
        <v>1E-4</v>
      </c>
      <c r="AE86" s="233">
        <v>1.18E-2</v>
      </c>
    </row>
    <row r="87" spans="1:31" x14ac:dyDescent="0.3">
      <c r="A87" s="225">
        <v>44</v>
      </c>
      <c r="B87" s="233" t="s">
        <v>986</v>
      </c>
      <c r="C87" s="233"/>
      <c r="D87" s="234" t="s">
        <v>987</v>
      </c>
      <c r="E87" s="74">
        <v>180</v>
      </c>
      <c r="F87" s="238">
        <f t="shared" si="2"/>
        <v>60</v>
      </c>
      <c r="G87" s="74" t="s">
        <v>854</v>
      </c>
      <c r="H87" s="74">
        <v>5</v>
      </c>
      <c r="I87" s="74">
        <v>17.078420000000001</v>
      </c>
      <c r="J87" s="74">
        <v>74.322064999999995</v>
      </c>
      <c r="K87" s="224" t="s">
        <v>855</v>
      </c>
      <c r="L87" s="233"/>
      <c r="M87" s="75">
        <v>7.5</v>
      </c>
      <c r="N87" s="74">
        <v>74</v>
      </c>
      <c r="O87" s="74">
        <v>3.68</v>
      </c>
      <c r="P87" s="74">
        <v>1837</v>
      </c>
      <c r="Q87" s="74">
        <v>5.0000000000000001E-4</v>
      </c>
      <c r="R87" s="74">
        <v>919</v>
      </c>
      <c r="S87" s="74">
        <v>0.93</v>
      </c>
      <c r="T87" s="74">
        <v>27.74</v>
      </c>
      <c r="U87" s="74">
        <v>284</v>
      </c>
      <c r="V87" s="235">
        <v>0.8</v>
      </c>
      <c r="W87" s="74">
        <v>780</v>
      </c>
      <c r="X87" s="74">
        <v>12.2</v>
      </c>
      <c r="Y87" s="236">
        <v>89.2</v>
      </c>
      <c r="Z87" s="74">
        <v>16.43</v>
      </c>
      <c r="AA87" s="183">
        <v>39.61</v>
      </c>
      <c r="AB87" s="183">
        <v>41.47</v>
      </c>
      <c r="AC87" s="233">
        <v>244.39</v>
      </c>
      <c r="AD87" s="233">
        <v>2.0000000000000001E-4</v>
      </c>
      <c r="AE87" s="233">
        <v>8.8999999999999999E-3</v>
      </c>
    </row>
    <row r="88" spans="1:31" x14ac:dyDescent="0.3">
      <c r="A88" s="225">
        <v>45</v>
      </c>
      <c r="B88" s="233" t="s">
        <v>988</v>
      </c>
      <c r="C88" s="233"/>
      <c r="D88" s="234" t="s">
        <v>989</v>
      </c>
      <c r="E88" s="74">
        <v>160</v>
      </c>
      <c r="F88" s="238">
        <f t="shared" si="2"/>
        <v>53.333333333333336</v>
      </c>
      <c r="G88" s="74" t="s">
        <v>854</v>
      </c>
      <c r="H88" s="74">
        <v>6</v>
      </c>
      <c r="I88" s="74">
        <v>17.072551000000001</v>
      </c>
      <c r="J88" s="74">
        <v>74.316829999999996</v>
      </c>
      <c r="K88" s="224" t="s">
        <v>855</v>
      </c>
      <c r="L88" s="233"/>
      <c r="M88" s="74">
        <v>7.41</v>
      </c>
      <c r="N88" s="74">
        <v>96</v>
      </c>
      <c r="O88" s="74">
        <v>4.03</v>
      </c>
      <c r="P88" s="74">
        <v>1380</v>
      </c>
      <c r="Q88" s="74">
        <v>6.9999999999999999E-4</v>
      </c>
      <c r="R88" s="74">
        <v>691</v>
      </c>
      <c r="S88" s="74">
        <v>0.69</v>
      </c>
      <c r="T88" s="74">
        <v>27.49</v>
      </c>
      <c r="U88" s="74">
        <v>232</v>
      </c>
      <c r="V88" s="235">
        <v>0.79</v>
      </c>
      <c r="W88" s="74">
        <v>600</v>
      </c>
      <c r="X88" s="74">
        <v>8.1999999999999993</v>
      </c>
      <c r="Y88" s="236">
        <v>62.7</v>
      </c>
      <c r="Z88" s="74">
        <v>12.62</v>
      </c>
      <c r="AA88" s="183">
        <v>19.5</v>
      </c>
      <c r="AB88" s="183">
        <v>19.28</v>
      </c>
      <c r="AC88" s="233">
        <v>212.5</v>
      </c>
      <c r="AD88" s="233">
        <v>2.9999999999999997E-4</v>
      </c>
      <c r="AE88" s="233">
        <v>1.03E-2</v>
      </c>
    </row>
    <row r="89" spans="1:31" x14ac:dyDescent="0.3">
      <c r="A89" s="225">
        <v>46</v>
      </c>
      <c r="B89" s="233" t="s">
        <v>990</v>
      </c>
      <c r="C89" s="233"/>
      <c r="D89" s="234" t="s">
        <v>991</v>
      </c>
      <c r="E89" s="74">
        <v>110</v>
      </c>
      <c r="F89" s="238">
        <f t="shared" si="2"/>
        <v>36.666666666666664</v>
      </c>
      <c r="G89" s="74">
        <v>2015</v>
      </c>
      <c r="H89" s="74">
        <v>5</v>
      </c>
      <c r="I89" s="74">
        <v>17.073089</v>
      </c>
      <c r="J89" s="74">
        <v>74.320451000000006</v>
      </c>
      <c r="K89" s="224" t="s">
        <v>855</v>
      </c>
      <c r="L89" s="233"/>
      <c r="M89" s="74">
        <v>7.3</v>
      </c>
      <c r="N89" s="74">
        <v>96</v>
      </c>
      <c r="O89" s="74">
        <v>3.86</v>
      </c>
      <c r="P89" s="74">
        <v>1115</v>
      </c>
      <c r="Q89" s="74">
        <v>8.9999999999999998E-4</v>
      </c>
      <c r="R89" s="74">
        <v>557</v>
      </c>
      <c r="S89" s="74">
        <v>0.55000000000000004</v>
      </c>
      <c r="T89" s="74">
        <v>27.61</v>
      </c>
      <c r="U89" s="74">
        <v>212</v>
      </c>
      <c r="V89" s="235">
        <v>0.13</v>
      </c>
      <c r="W89" s="74">
        <v>498</v>
      </c>
      <c r="X89" s="74">
        <v>12.3</v>
      </c>
      <c r="Y89" s="236">
        <v>61.5</v>
      </c>
      <c r="Z89" s="74">
        <v>2.79</v>
      </c>
      <c r="AA89" s="183">
        <v>88.82</v>
      </c>
      <c r="AB89" s="183">
        <v>3.43</v>
      </c>
      <c r="AC89" s="233">
        <v>123.18</v>
      </c>
      <c r="AD89" s="233">
        <v>4.0000000000000002E-4</v>
      </c>
      <c r="AE89" s="233">
        <v>6.6E-3</v>
      </c>
    </row>
    <row r="90" spans="1:31" x14ac:dyDescent="0.3">
      <c r="A90" s="225">
        <v>47</v>
      </c>
      <c r="B90" s="233" t="s">
        <v>992</v>
      </c>
      <c r="C90" s="233"/>
      <c r="D90" s="234" t="s">
        <v>993</v>
      </c>
      <c r="E90" s="74">
        <v>150</v>
      </c>
      <c r="F90" s="238">
        <f t="shared" si="2"/>
        <v>50</v>
      </c>
      <c r="G90" s="74">
        <v>1999</v>
      </c>
      <c r="H90" s="74">
        <v>7</v>
      </c>
      <c r="I90" s="74">
        <v>17.072935000000001</v>
      </c>
      <c r="J90" s="74">
        <v>74.326113000000007</v>
      </c>
      <c r="K90" s="224" t="s">
        <v>855</v>
      </c>
      <c r="L90" s="233"/>
      <c r="M90" s="74">
        <v>5.08</v>
      </c>
      <c r="N90" s="75">
        <v>131.19999999999999</v>
      </c>
      <c r="O90" s="75">
        <v>3.1</v>
      </c>
      <c r="P90" s="74">
        <v>1058</v>
      </c>
      <c r="Q90" s="74">
        <v>8.9999999999999998E-4</v>
      </c>
      <c r="R90" s="74">
        <v>529</v>
      </c>
      <c r="S90" s="74">
        <v>0.52</v>
      </c>
      <c r="T90" s="74">
        <v>27.71</v>
      </c>
      <c r="U90" s="74">
        <v>500</v>
      </c>
      <c r="V90" s="235">
        <v>1.06</v>
      </c>
      <c r="W90" s="74">
        <v>400</v>
      </c>
      <c r="X90" s="74">
        <v>14.3</v>
      </c>
      <c r="Y90" s="236">
        <v>53.7</v>
      </c>
      <c r="Z90" s="74">
        <v>6.9700000000000006</v>
      </c>
      <c r="AA90" s="183">
        <v>26.69</v>
      </c>
      <c r="AB90" s="183">
        <v>3.37</v>
      </c>
      <c r="AC90" s="233">
        <v>473.31</v>
      </c>
      <c r="AD90" s="233">
        <v>2.0000000000000001E-4</v>
      </c>
      <c r="AE90" s="233">
        <v>8.2000000000000007E-3</v>
      </c>
    </row>
    <row r="91" spans="1:31" x14ac:dyDescent="0.3">
      <c r="A91" s="225">
        <v>48</v>
      </c>
      <c r="B91" s="233" t="s">
        <v>994</v>
      </c>
      <c r="C91" s="233"/>
      <c r="D91" s="234" t="s">
        <v>970</v>
      </c>
      <c r="E91" s="74">
        <v>200</v>
      </c>
      <c r="F91" s="238">
        <f t="shared" si="2"/>
        <v>66.666666666666671</v>
      </c>
      <c r="G91" s="74" t="s">
        <v>854</v>
      </c>
      <c r="H91" s="74">
        <v>3</v>
      </c>
      <c r="I91" s="74">
        <v>17.072963999999999</v>
      </c>
      <c r="J91" s="74">
        <v>74.331968000000003</v>
      </c>
      <c r="K91" s="224" t="s">
        <v>855</v>
      </c>
      <c r="L91" s="233"/>
      <c r="M91" s="74">
        <v>7.16</v>
      </c>
      <c r="N91" s="75">
        <v>81</v>
      </c>
      <c r="O91" s="75">
        <v>3.7</v>
      </c>
      <c r="P91" s="74">
        <v>1117</v>
      </c>
      <c r="Q91" s="74">
        <v>8.9999999999999998E-4</v>
      </c>
      <c r="R91" s="74">
        <v>559</v>
      </c>
      <c r="S91" s="74">
        <v>0.55000000000000004</v>
      </c>
      <c r="T91" s="75">
        <v>27.7</v>
      </c>
      <c r="U91" s="74">
        <v>336</v>
      </c>
      <c r="V91" s="240">
        <v>0.41</v>
      </c>
      <c r="W91" s="74">
        <v>572</v>
      </c>
      <c r="X91" s="75">
        <v>12.3</v>
      </c>
      <c r="Y91" s="236">
        <v>64.2</v>
      </c>
      <c r="Z91" s="74">
        <v>1.1100000000000001</v>
      </c>
      <c r="AA91" s="183">
        <v>65.59</v>
      </c>
      <c r="AB91" s="183">
        <v>3.37</v>
      </c>
      <c r="AC91" s="233">
        <v>270.41000000000003</v>
      </c>
      <c r="AD91" s="233">
        <v>1E-4</v>
      </c>
      <c r="AE91" s="233">
        <v>1.26E-2</v>
      </c>
    </row>
    <row r="92" spans="1:31" x14ac:dyDescent="0.3">
      <c r="A92" s="225">
        <v>49</v>
      </c>
      <c r="B92" s="233" t="s">
        <v>995</v>
      </c>
      <c r="C92" s="233"/>
      <c r="D92" s="234" t="s">
        <v>996</v>
      </c>
      <c r="E92" s="74">
        <v>190</v>
      </c>
      <c r="F92" s="238">
        <f t="shared" si="2"/>
        <v>63.333333333333336</v>
      </c>
      <c r="G92" s="74">
        <v>2005</v>
      </c>
      <c r="H92" s="74">
        <v>5</v>
      </c>
      <c r="I92" s="74">
        <v>17.072963999999999</v>
      </c>
      <c r="J92" s="74">
        <v>74.331968000000003</v>
      </c>
      <c r="K92" s="224" t="s">
        <v>855</v>
      </c>
      <c r="L92" s="233"/>
      <c r="M92" s="74">
        <v>7.31</v>
      </c>
      <c r="N92" s="74">
        <v>69.8</v>
      </c>
      <c r="O92" s="74">
        <v>1.53</v>
      </c>
      <c r="P92" s="74">
        <v>983</v>
      </c>
      <c r="Q92" s="74">
        <v>1E-3</v>
      </c>
      <c r="R92" s="74">
        <v>492</v>
      </c>
      <c r="S92" s="74">
        <v>0.48</v>
      </c>
      <c r="T92" s="74">
        <v>27.78</v>
      </c>
      <c r="U92" s="74">
        <v>728</v>
      </c>
      <c r="V92" s="235">
        <v>0.91</v>
      </c>
      <c r="W92" s="74">
        <v>544</v>
      </c>
      <c r="X92" s="74">
        <v>17.600000000000001</v>
      </c>
      <c r="Y92" s="236">
        <v>47.5</v>
      </c>
      <c r="Z92" s="74">
        <v>1.1100000000000001</v>
      </c>
      <c r="AA92" s="183">
        <v>14.63</v>
      </c>
      <c r="AB92" s="183">
        <v>0.06</v>
      </c>
      <c r="AC92" s="233">
        <v>713.37</v>
      </c>
      <c r="AD92" s="233">
        <v>2.0000000000000001E-4</v>
      </c>
      <c r="AE92" s="233">
        <v>3.5999999999999999E-3</v>
      </c>
    </row>
    <row r="93" spans="1:31" ht="28.8" x14ac:dyDescent="0.3">
      <c r="A93" s="225">
        <v>50</v>
      </c>
      <c r="B93" s="233" t="s">
        <v>997</v>
      </c>
      <c r="C93" s="233"/>
      <c r="D93" s="234" t="s">
        <v>998</v>
      </c>
      <c r="E93" s="74">
        <v>100</v>
      </c>
      <c r="F93" s="238">
        <f t="shared" si="2"/>
        <v>33.333333333333336</v>
      </c>
      <c r="G93" s="74">
        <v>2018</v>
      </c>
      <c r="H93" s="74">
        <v>7</v>
      </c>
      <c r="I93" s="74">
        <v>17.093551000000001</v>
      </c>
      <c r="J93" s="74">
        <v>74.312960000000004</v>
      </c>
      <c r="K93" s="224" t="s">
        <v>879</v>
      </c>
      <c r="L93" s="233"/>
      <c r="M93" s="74">
        <v>7.41</v>
      </c>
      <c r="N93" s="74">
        <v>75.3</v>
      </c>
      <c r="O93" s="74">
        <v>1.51</v>
      </c>
      <c r="P93" s="74">
        <v>1218</v>
      </c>
      <c r="Q93" s="74">
        <v>8.0000000000000004E-4</v>
      </c>
      <c r="R93" s="74">
        <v>609</v>
      </c>
      <c r="S93" s="74">
        <v>0.6</v>
      </c>
      <c r="T93" s="74">
        <v>27.74</v>
      </c>
      <c r="U93" s="74">
        <v>376</v>
      </c>
      <c r="V93" s="235">
        <v>0.72</v>
      </c>
      <c r="W93" s="74">
        <v>603</v>
      </c>
      <c r="X93" s="74">
        <v>16.399999999999999</v>
      </c>
      <c r="Y93" s="236">
        <v>102.9</v>
      </c>
      <c r="Z93" s="74">
        <v>4.0200000000000005</v>
      </c>
      <c r="AA93" s="183">
        <v>19.170000000000002</v>
      </c>
      <c r="AB93" s="183">
        <v>0.03</v>
      </c>
      <c r="AC93" s="233">
        <v>356.83</v>
      </c>
      <c r="AD93" s="233">
        <v>5.0000000000000001E-4</v>
      </c>
      <c r="AE93" s="233">
        <v>1.01E-2</v>
      </c>
    </row>
    <row r="94" spans="1:31" x14ac:dyDescent="0.3">
      <c r="A94" s="225">
        <v>51</v>
      </c>
      <c r="B94" s="233" t="s">
        <v>999</v>
      </c>
      <c r="C94" s="233"/>
      <c r="D94" s="234" t="s">
        <v>1000</v>
      </c>
      <c r="E94" s="74">
        <v>150</v>
      </c>
      <c r="F94" s="238">
        <f t="shared" si="2"/>
        <v>50</v>
      </c>
      <c r="G94" s="74">
        <v>2016</v>
      </c>
      <c r="H94" s="74">
        <v>3</v>
      </c>
      <c r="I94" s="74">
        <v>17.110219000000001</v>
      </c>
      <c r="J94" s="74">
        <v>74.276983000000001</v>
      </c>
      <c r="K94" s="224" t="s">
        <v>855</v>
      </c>
      <c r="L94" s="233"/>
      <c r="M94" s="74">
        <v>7.41</v>
      </c>
      <c r="N94" s="74">
        <v>70.900000000000006</v>
      </c>
      <c r="O94" s="74">
        <v>1.47</v>
      </c>
      <c r="P94" s="74">
        <v>988</v>
      </c>
      <c r="Q94" s="74">
        <v>1E-3</v>
      </c>
      <c r="R94" s="74">
        <v>494</v>
      </c>
      <c r="S94" s="74">
        <v>0.48</v>
      </c>
      <c r="T94" s="74">
        <v>27.69</v>
      </c>
      <c r="U94" s="74">
        <v>388</v>
      </c>
      <c r="V94" s="235">
        <v>0.28000000000000003</v>
      </c>
      <c r="W94" s="74">
        <v>531</v>
      </c>
      <c r="X94" s="74">
        <v>18.899999999999999</v>
      </c>
      <c r="Y94" s="236">
        <v>110.4</v>
      </c>
      <c r="Z94" s="74">
        <v>2.04</v>
      </c>
      <c r="AA94" s="183">
        <v>13.38</v>
      </c>
      <c r="AB94" s="183">
        <v>0</v>
      </c>
      <c r="AC94" s="233">
        <v>324.62</v>
      </c>
      <c r="AD94" s="233">
        <v>5.9999999999999995E-4</v>
      </c>
      <c r="AE94" s="233">
        <v>6.1000000000000004E-3</v>
      </c>
    </row>
    <row r="95" spans="1:31" x14ac:dyDescent="0.3">
      <c r="A95" s="225">
        <v>52</v>
      </c>
      <c r="B95" s="233" t="s">
        <v>1001</v>
      </c>
      <c r="C95" s="233"/>
      <c r="D95" s="234" t="s">
        <v>1002</v>
      </c>
      <c r="E95" s="74">
        <v>100</v>
      </c>
      <c r="F95" s="238">
        <f t="shared" si="2"/>
        <v>33.333333333333336</v>
      </c>
      <c r="G95" s="74">
        <v>2018</v>
      </c>
      <c r="H95" s="74">
        <v>2</v>
      </c>
      <c r="I95" s="74">
        <v>17.11382</v>
      </c>
      <c r="J95" s="74">
        <v>74.278987999999998</v>
      </c>
      <c r="K95" s="224" t="s">
        <v>855</v>
      </c>
      <c r="L95" s="233"/>
      <c r="M95" s="74">
        <v>7.41</v>
      </c>
      <c r="N95" s="74">
        <v>70</v>
      </c>
      <c r="O95" s="74">
        <v>1.55</v>
      </c>
      <c r="P95" s="74">
        <v>1024</v>
      </c>
      <c r="Q95" s="74">
        <v>1E-3</v>
      </c>
      <c r="R95" s="74">
        <v>512</v>
      </c>
      <c r="S95" s="74">
        <v>0.5</v>
      </c>
      <c r="T95" s="74">
        <v>27.8</v>
      </c>
      <c r="U95" s="74">
        <v>416</v>
      </c>
      <c r="V95" s="235">
        <v>0.35</v>
      </c>
      <c r="W95" s="74">
        <v>589</v>
      </c>
      <c r="X95" s="74">
        <v>11.3</v>
      </c>
      <c r="Y95" s="236">
        <v>158.19999999999999</v>
      </c>
      <c r="Z95" s="74">
        <v>1.1100000000000001</v>
      </c>
      <c r="AA95" s="183">
        <v>18.27</v>
      </c>
      <c r="AB95" s="183">
        <v>0.08</v>
      </c>
      <c r="AC95" s="233">
        <v>397.73</v>
      </c>
      <c r="AD95" s="233">
        <v>0</v>
      </c>
      <c r="AE95" s="233">
        <v>7.7999999999999996E-3</v>
      </c>
    </row>
    <row r="96" spans="1:31" x14ac:dyDescent="0.3">
      <c r="A96" s="225">
        <v>53</v>
      </c>
      <c r="B96" s="233" t="s">
        <v>1003</v>
      </c>
      <c r="C96" s="233"/>
      <c r="D96" s="234" t="s">
        <v>1004</v>
      </c>
      <c r="E96" s="74">
        <v>120</v>
      </c>
      <c r="F96" s="238">
        <f t="shared" si="2"/>
        <v>40</v>
      </c>
      <c r="G96" s="74">
        <v>2018</v>
      </c>
      <c r="H96" s="74">
        <v>1</v>
      </c>
      <c r="I96" s="74">
        <v>17.110333000000001</v>
      </c>
      <c r="J96" s="74">
        <v>74.277704</v>
      </c>
      <c r="K96" s="224" t="s">
        <v>855</v>
      </c>
      <c r="L96" s="233"/>
      <c r="M96" s="74">
        <v>7.6</v>
      </c>
      <c r="N96" s="74">
        <v>79.599999999999994</v>
      </c>
      <c r="O96" s="74">
        <v>4.05</v>
      </c>
      <c r="P96" s="74">
        <v>860</v>
      </c>
      <c r="Q96" s="74">
        <v>1.1999999999999999E-3</v>
      </c>
      <c r="R96" s="74">
        <v>430</v>
      </c>
      <c r="S96" s="74">
        <v>0.42</v>
      </c>
      <c r="T96" s="75">
        <v>27.7</v>
      </c>
      <c r="U96" s="74">
        <v>392</v>
      </c>
      <c r="V96" s="240">
        <v>0.28999999999999998</v>
      </c>
      <c r="W96" s="74">
        <v>660</v>
      </c>
      <c r="X96" s="75">
        <v>7.5</v>
      </c>
      <c r="Y96" s="236">
        <v>100.3</v>
      </c>
      <c r="Z96" s="74">
        <v>1.1100000000000001</v>
      </c>
      <c r="AA96" s="183">
        <v>16.3</v>
      </c>
      <c r="AB96" s="183">
        <v>0.24</v>
      </c>
      <c r="AC96" s="233">
        <v>375.7</v>
      </c>
      <c r="AD96" s="233">
        <v>1E-4</v>
      </c>
      <c r="AE96" s="233">
        <v>1.04E-2</v>
      </c>
    </row>
    <row r="97" spans="1:31" ht="28.8" x14ac:dyDescent="0.3">
      <c r="A97" s="225">
        <v>54</v>
      </c>
      <c r="B97" s="233" t="s">
        <v>1005</v>
      </c>
      <c r="C97" s="233"/>
      <c r="D97" s="234" t="s">
        <v>170</v>
      </c>
      <c r="E97" s="74">
        <v>200</v>
      </c>
      <c r="F97" s="238">
        <f t="shared" si="2"/>
        <v>66.666666666666671</v>
      </c>
      <c r="G97" s="74">
        <v>2015</v>
      </c>
      <c r="H97" s="74">
        <v>4</v>
      </c>
      <c r="I97" s="74">
        <v>17.008579000000001</v>
      </c>
      <c r="J97" s="74">
        <v>74.263886999999997</v>
      </c>
      <c r="K97" s="224" t="s">
        <v>846</v>
      </c>
      <c r="L97" s="233"/>
      <c r="M97" s="74">
        <v>7.3</v>
      </c>
      <c r="N97" s="74">
        <v>26.1</v>
      </c>
      <c r="O97" s="74">
        <v>1.01</v>
      </c>
      <c r="P97" s="74">
        <v>1405</v>
      </c>
      <c r="Q97" s="74">
        <v>6.9999999999999999E-4</v>
      </c>
      <c r="R97" s="74">
        <v>703</v>
      </c>
      <c r="S97" s="74">
        <v>0.7</v>
      </c>
      <c r="T97" s="74">
        <v>27.69</v>
      </c>
      <c r="U97" s="74">
        <v>368</v>
      </c>
      <c r="V97" s="235">
        <v>0</v>
      </c>
      <c r="W97" s="74">
        <v>624</v>
      </c>
      <c r="X97" s="74">
        <v>17.100000000000001</v>
      </c>
      <c r="Y97" s="236">
        <v>70.900000000000006</v>
      </c>
      <c r="Z97" s="74">
        <v>4.08</v>
      </c>
      <c r="AA97" s="183">
        <v>11.92</v>
      </c>
      <c r="AB97" s="183">
        <v>0</v>
      </c>
      <c r="AC97" s="233">
        <v>356.08</v>
      </c>
      <c r="AD97" s="233">
        <v>5.9999999999999995E-4</v>
      </c>
      <c r="AE97" s="233">
        <v>1.0500000000000001E-2</v>
      </c>
    </row>
    <row r="98" spans="1:31" ht="28.8" x14ac:dyDescent="0.3">
      <c r="A98" s="225">
        <v>55</v>
      </c>
      <c r="B98" s="233" t="s">
        <v>1006</v>
      </c>
      <c r="C98" s="233"/>
      <c r="D98" s="234" t="s">
        <v>1007</v>
      </c>
      <c r="E98" s="74">
        <v>150</v>
      </c>
      <c r="F98" s="238">
        <f t="shared" si="2"/>
        <v>50</v>
      </c>
      <c r="G98" s="74">
        <v>2022</v>
      </c>
      <c r="H98" s="74">
        <v>3</v>
      </c>
      <c r="I98" s="74">
        <v>17.073089</v>
      </c>
      <c r="J98" s="74">
        <v>74.320451000000006</v>
      </c>
      <c r="K98" s="224" t="s">
        <v>939</v>
      </c>
      <c r="L98" s="233"/>
      <c r="M98" s="74">
        <v>6.9</v>
      </c>
      <c r="N98" s="74">
        <v>92.5</v>
      </c>
      <c r="O98" s="74">
        <v>2.38</v>
      </c>
      <c r="P98" s="74">
        <v>1356</v>
      </c>
      <c r="Q98" s="74">
        <v>6.9999999999999999E-4</v>
      </c>
      <c r="R98" s="74">
        <v>678</v>
      </c>
      <c r="S98" s="74">
        <v>0.67</v>
      </c>
      <c r="T98" s="74">
        <v>27.71</v>
      </c>
      <c r="U98" s="74">
        <v>250</v>
      </c>
      <c r="V98" s="235">
        <v>0.23</v>
      </c>
      <c r="W98" s="74">
        <v>760</v>
      </c>
      <c r="X98" s="74">
        <v>12.6</v>
      </c>
      <c r="Y98" s="236">
        <v>11.93</v>
      </c>
      <c r="Z98" s="74">
        <v>9.34</v>
      </c>
      <c r="AA98" s="183">
        <v>21.66</v>
      </c>
      <c r="AB98" s="183">
        <v>0.18</v>
      </c>
      <c r="AC98" s="233">
        <v>228.34</v>
      </c>
      <c r="AD98" s="233">
        <v>2.0000000000000001E-4</v>
      </c>
      <c r="AE98" s="233">
        <v>1.2999999999999999E-3</v>
      </c>
    </row>
    <row r="99" spans="1:31" x14ac:dyDescent="0.3">
      <c r="A99" s="225">
        <v>56</v>
      </c>
      <c r="B99" s="233" t="s">
        <v>1008</v>
      </c>
      <c r="C99" s="233"/>
      <c r="D99" s="234" t="s">
        <v>128</v>
      </c>
      <c r="E99" s="74">
        <v>100</v>
      </c>
      <c r="F99" s="238">
        <f t="shared" si="2"/>
        <v>33.333333333333336</v>
      </c>
      <c r="G99" s="74" t="s">
        <v>854</v>
      </c>
      <c r="H99" s="74">
        <v>4</v>
      </c>
      <c r="I99" s="74">
        <v>17.069465999999998</v>
      </c>
      <c r="J99" s="74">
        <v>74.362386000000001</v>
      </c>
      <c r="K99" s="224" t="s">
        <v>855</v>
      </c>
      <c r="L99" s="233"/>
      <c r="M99" s="74">
        <v>7.48</v>
      </c>
      <c r="N99" s="74">
        <v>55</v>
      </c>
      <c r="O99" s="74">
        <v>1.42</v>
      </c>
      <c r="P99" s="74">
        <v>2775</v>
      </c>
      <c r="Q99" s="74">
        <v>4.0000000000000002E-4</v>
      </c>
      <c r="R99" s="74">
        <v>1388</v>
      </c>
      <c r="S99" s="74">
        <v>1.43</v>
      </c>
      <c r="T99" s="74">
        <v>27.74</v>
      </c>
      <c r="U99" s="74">
        <v>444</v>
      </c>
      <c r="V99" s="235">
        <v>0.1</v>
      </c>
      <c r="W99" s="74">
        <v>608</v>
      </c>
      <c r="X99" s="74">
        <v>12.2</v>
      </c>
      <c r="Y99" s="236">
        <v>51.6</v>
      </c>
      <c r="Z99" s="74">
        <v>12.549999999999999</v>
      </c>
      <c r="AA99" s="183">
        <v>219.49</v>
      </c>
      <c r="AB99" s="183">
        <v>140.1</v>
      </c>
      <c r="AC99" s="233">
        <v>224.51</v>
      </c>
      <c r="AD99" s="233">
        <v>2.9999999999999997E-4</v>
      </c>
      <c r="AE99" s="233">
        <v>3.0000000000000001E-3</v>
      </c>
    </row>
    <row r="100" spans="1:31" x14ac:dyDescent="0.3">
      <c r="A100" s="225">
        <v>57</v>
      </c>
      <c r="B100" s="233" t="s">
        <v>1009</v>
      </c>
      <c r="C100" s="233"/>
      <c r="D100" s="234" t="s">
        <v>128</v>
      </c>
      <c r="E100" s="74">
        <v>120</v>
      </c>
      <c r="F100" s="238">
        <f t="shared" si="2"/>
        <v>40</v>
      </c>
      <c r="G100" s="74" t="s">
        <v>854</v>
      </c>
      <c r="H100" s="74">
        <v>6</v>
      </c>
      <c r="I100" s="74">
        <v>17.067692999999998</v>
      </c>
      <c r="J100" s="74">
        <v>74.360440999999994</v>
      </c>
      <c r="K100" s="224" t="s">
        <v>855</v>
      </c>
      <c r="L100" s="233"/>
      <c r="M100" s="74">
        <v>7.31</v>
      </c>
      <c r="N100" s="74">
        <v>73</v>
      </c>
      <c r="O100" s="74">
        <v>1.78</v>
      </c>
      <c r="P100" s="74">
        <v>2490</v>
      </c>
      <c r="Q100" s="74">
        <v>4.0000000000000002E-4</v>
      </c>
      <c r="R100" s="74">
        <v>1245</v>
      </c>
      <c r="S100" s="74">
        <v>1.28</v>
      </c>
      <c r="T100" s="74">
        <v>27.63</v>
      </c>
      <c r="U100" s="74">
        <v>268</v>
      </c>
      <c r="V100" s="235">
        <v>0.2</v>
      </c>
      <c r="W100" s="74">
        <v>996</v>
      </c>
      <c r="X100" s="74">
        <v>8.1</v>
      </c>
      <c r="Y100" s="236">
        <v>72.400000000000006</v>
      </c>
      <c r="Z100" s="74">
        <v>12.44</v>
      </c>
      <c r="AA100" s="183">
        <v>96.12</v>
      </c>
      <c r="AB100" s="183">
        <v>0.18</v>
      </c>
      <c r="AC100" s="233">
        <v>171.88</v>
      </c>
      <c r="AD100" s="233">
        <v>2.9999999999999997E-4</v>
      </c>
      <c r="AE100" s="233">
        <v>5.5999999999999999E-3</v>
      </c>
    </row>
    <row r="101" spans="1:31" ht="28.8" x14ac:dyDescent="0.3">
      <c r="A101" s="225">
        <v>58</v>
      </c>
      <c r="B101" s="233" t="s">
        <v>1010</v>
      </c>
      <c r="C101" s="233"/>
      <c r="D101" s="234" t="s">
        <v>1011</v>
      </c>
      <c r="E101" s="74">
        <v>110</v>
      </c>
      <c r="F101" s="238">
        <f t="shared" si="2"/>
        <v>36.666666666666664</v>
      </c>
      <c r="G101" s="74">
        <v>2018</v>
      </c>
      <c r="H101" s="74">
        <v>15</v>
      </c>
      <c r="I101" s="74">
        <v>17.063372000000001</v>
      </c>
      <c r="J101" s="74">
        <v>74.355576999999997</v>
      </c>
      <c r="K101" s="224" t="s">
        <v>1012</v>
      </c>
      <c r="L101" s="233"/>
      <c r="M101" s="74">
        <v>7.38</v>
      </c>
      <c r="N101" s="74">
        <v>69.7</v>
      </c>
      <c r="O101" s="74">
        <v>1.44</v>
      </c>
      <c r="P101" s="74">
        <v>1213</v>
      </c>
      <c r="Q101" s="74">
        <v>8.0000000000000004E-4</v>
      </c>
      <c r="R101" s="74">
        <v>6.6</v>
      </c>
      <c r="S101" s="74">
        <v>0.6</v>
      </c>
      <c r="T101" s="74">
        <v>27.63</v>
      </c>
      <c r="U101" s="74">
        <v>880</v>
      </c>
      <c r="V101" s="235">
        <v>0.27</v>
      </c>
      <c r="W101" s="74">
        <v>1260</v>
      </c>
      <c r="X101" s="74">
        <v>10.199999999999999</v>
      </c>
      <c r="Y101" s="236">
        <v>73.8</v>
      </c>
      <c r="Z101" s="74">
        <v>7</v>
      </c>
      <c r="AA101" s="183">
        <v>106.71</v>
      </c>
      <c r="AB101" s="183">
        <v>0.17</v>
      </c>
      <c r="AC101" s="233">
        <v>773.29</v>
      </c>
      <c r="AD101" s="233">
        <v>1E-4</v>
      </c>
      <c r="AE101" s="233">
        <v>5.5999999999999999E-3</v>
      </c>
    </row>
    <row r="102" spans="1:31" x14ac:dyDescent="0.3">
      <c r="A102" s="225">
        <v>59</v>
      </c>
      <c r="B102" s="233" t="s">
        <v>1013</v>
      </c>
      <c r="C102" s="233"/>
      <c r="D102" s="234" t="s">
        <v>1014</v>
      </c>
      <c r="E102" s="74">
        <v>110</v>
      </c>
      <c r="F102" s="238">
        <f t="shared" si="2"/>
        <v>36.666666666666664</v>
      </c>
      <c r="G102" s="74">
        <v>2017</v>
      </c>
      <c r="H102" s="74">
        <v>7</v>
      </c>
      <c r="I102" s="74">
        <v>17.06307</v>
      </c>
      <c r="J102" s="74">
        <v>74.354112999999998</v>
      </c>
      <c r="K102" s="224" t="s">
        <v>884</v>
      </c>
      <c r="L102" s="233"/>
      <c r="M102" s="74">
        <v>7.73</v>
      </c>
      <c r="N102" s="74">
        <v>58.2</v>
      </c>
      <c r="O102" s="74">
        <v>1.45</v>
      </c>
      <c r="P102" s="74">
        <v>224</v>
      </c>
      <c r="Q102" s="74">
        <v>1.1000000000000001E-3</v>
      </c>
      <c r="R102" s="74">
        <v>462</v>
      </c>
      <c r="S102" s="74">
        <v>0.45</v>
      </c>
      <c r="T102" s="74">
        <v>27.64</v>
      </c>
      <c r="U102" s="74">
        <v>476</v>
      </c>
      <c r="V102" s="235">
        <v>0.66</v>
      </c>
      <c r="W102" s="74">
        <v>943</v>
      </c>
      <c r="X102" s="74">
        <v>13.6</v>
      </c>
      <c r="Y102" s="236">
        <v>69.5</v>
      </c>
      <c r="Z102" s="74">
        <v>4.6500000000000004</v>
      </c>
      <c r="AA102" s="183">
        <v>95.05</v>
      </c>
      <c r="AB102" s="183">
        <v>0.13</v>
      </c>
      <c r="AC102" s="233">
        <v>380.95</v>
      </c>
      <c r="AD102" s="233">
        <v>1E-4</v>
      </c>
      <c r="AE102" s="233">
        <v>7.9000000000000008E-3</v>
      </c>
    </row>
    <row r="103" spans="1:31" ht="57.6" x14ac:dyDescent="0.3">
      <c r="A103" s="225">
        <v>60</v>
      </c>
      <c r="B103" s="233" t="s">
        <v>1015</v>
      </c>
      <c r="C103" s="233"/>
      <c r="D103" s="234" t="s">
        <v>1016</v>
      </c>
      <c r="E103" s="74">
        <v>200</v>
      </c>
      <c r="F103" s="238">
        <f t="shared" si="2"/>
        <v>66.666666666666671</v>
      </c>
      <c r="G103" s="74">
        <v>2005</v>
      </c>
      <c r="H103" s="74">
        <v>13</v>
      </c>
      <c r="I103" s="74">
        <v>17.062995999999998</v>
      </c>
      <c r="J103" s="74">
        <v>74.351823999999993</v>
      </c>
      <c r="K103" s="224" t="s">
        <v>1017</v>
      </c>
      <c r="L103" s="233"/>
      <c r="M103" s="74">
        <v>7.23</v>
      </c>
      <c r="N103" s="74">
        <v>91</v>
      </c>
      <c r="O103" s="74">
        <v>3.65</v>
      </c>
      <c r="P103" s="74">
        <v>901</v>
      </c>
      <c r="Q103" s="74">
        <v>1.1000000000000001E-3</v>
      </c>
      <c r="R103" s="74">
        <v>450</v>
      </c>
      <c r="S103" s="74">
        <v>0.44</v>
      </c>
      <c r="T103" s="74">
        <v>27.56</v>
      </c>
      <c r="U103" s="74">
        <v>316</v>
      </c>
      <c r="V103" s="235">
        <v>0.3</v>
      </c>
      <c r="W103" s="74">
        <v>760</v>
      </c>
      <c r="X103" s="74">
        <v>8</v>
      </c>
      <c r="Y103" s="236">
        <v>57.8</v>
      </c>
      <c r="Z103" s="74">
        <v>2.2599999999999998</v>
      </c>
      <c r="AA103" s="183">
        <v>95.36</v>
      </c>
      <c r="AB103" s="183">
        <v>0.46</v>
      </c>
      <c r="AC103" s="233">
        <v>220.64</v>
      </c>
      <c r="AD103" s="233">
        <v>1E-4</v>
      </c>
      <c r="AE103" s="233">
        <v>8.6E-3</v>
      </c>
    </row>
    <row r="104" spans="1:31" ht="57.6" x14ac:dyDescent="0.3">
      <c r="A104" s="225">
        <v>61</v>
      </c>
      <c r="B104" s="233" t="s">
        <v>1018</v>
      </c>
      <c r="C104" s="233"/>
      <c r="D104" s="234" t="s">
        <v>1019</v>
      </c>
      <c r="E104" s="74">
        <v>180</v>
      </c>
      <c r="F104" s="238">
        <f t="shared" si="2"/>
        <v>60</v>
      </c>
      <c r="G104" s="74">
        <v>2019</v>
      </c>
      <c r="H104" s="74">
        <v>32</v>
      </c>
      <c r="I104" s="74">
        <v>17.062660000000001</v>
      </c>
      <c r="J104" s="74">
        <v>74.349429999999998</v>
      </c>
      <c r="K104" s="224" t="s">
        <v>1017</v>
      </c>
      <c r="L104" s="233"/>
      <c r="M104" s="74">
        <v>7.41</v>
      </c>
      <c r="N104" s="74">
        <v>93</v>
      </c>
      <c r="O104" s="74">
        <v>4.1500000000000004</v>
      </c>
      <c r="P104" s="74">
        <v>906</v>
      </c>
      <c r="Q104" s="74">
        <v>1.1000000000000001E-3</v>
      </c>
      <c r="R104" s="74">
        <v>453</v>
      </c>
      <c r="S104" s="74">
        <v>0.44</v>
      </c>
      <c r="T104" s="74">
        <v>27.88</v>
      </c>
      <c r="U104" s="74">
        <v>416</v>
      </c>
      <c r="V104" s="235">
        <v>0.87</v>
      </c>
      <c r="W104" s="74">
        <v>826</v>
      </c>
      <c r="X104" s="74">
        <v>12.4</v>
      </c>
      <c r="Y104" s="236">
        <v>85.4</v>
      </c>
      <c r="Z104" s="74">
        <v>1.4300000000000002</v>
      </c>
      <c r="AA104" s="183">
        <v>81.72</v>
      </c>
      <c r="AB104" s="183">
        <v>0.04</v>
      </c>
      <c r="AC104" s="233">
        <v>334.28</v>
      </c>
      <c r="AD104" s="233">
        <v>4.0000000000000002E-4</v>
      </c>
      <c r="AE104" s="233">
        <v>4.1999999999999997E-3</v>
      </c>
    </row>
    <row r="105" spans="1:31" ht="28.8" x14ac:dyDescent="0.3">
      <c r="A105" s="225">
        <v>62</v>
      </c>
      <c r="B105" s="233" t="s">
        <v>1018</v>
      </c>
      <c r="C105" s="233"/>
      <c r="D105" s="234" t="s">
        <v>1020</v>
      </c>
      <c r="E105" s="74">
        <v>225</v>
      </c>
      <c r="F105" s="237">
        <f t="shared" si="2"/>
        <v>75</v>
      </c>
      <c r="G105" s="74">
        <v>2010</v>
      </c>
      <c r="H105" s="74">
        <v>6</v>
      </c>
      <c r="I105" s="74">
        <v>17.061658000000001</v>
      </c>
      <c r="J105" s="74">
        <v>74.351455000000001</v>
      </c>
      <c r="K105" s="224" t="s">
        <v>934</v>
      </c>
      <c r="L105" s="233"/>
      <c r="M105" s="74">
        <v>7.32</v>
      </c>
      <c r="N105" s="74">
        <v>67.8</v>
      </c>
      <c r="O105" s="74">
        <v>1.43</v>
      </c>
      <c r="P105" s="74">
        <v>1405</v>
      </c>
      <c r="Q105" s="74">
        <v>6.9999999999999999E-4</v>
      </c>
      <c r="R105" s="74">
        <v>703</v>
      </c>
      <c r="S105" s="74">
        <v>0.7</v>
      </c>
      <c r="T105" s="74">
        <v>27.58</v>
      </c>
      <c r="U105" s="74">
        <v>424</v>
      </c>
      <c r="V105" s="235">
        <v>0</v>
      </c>
      <c r="W105" s="74">
        <v>927</v>
      </c>
      <c r="X105" s="74">
        <v>17.899999999999999</v>
      </c>
      <c r="Y105" s="236">
        <v>57.6</v>
      </c>
      <c r="Z105" s="74">
        <v>7.8500000000000005</v>
      </c>
      <c r="AA105" s="183">
        <v>96.24</v>
      </c>
      <c r="AB105" s="183">
        <v>0.4</v>
      </c>
      <c r="AC105" s="233">
        <v>327.76</v>
      </c>
      <c r="AD105" s="233">
        <v>4.0000000000000002E-4</v>
      </c>
      <c r="AE105" s="233">
        <v>3.5999999999999999E-3</v>
      </c>
    </row>
    <row r="106" spans="1:31" x14ac:dyDescent="0.3">
      <c r="A106" s="225">
        <v>63</v>
      </c>
      <c r="B106" s="233" t="s">
        <v>1021</v>
      </c>
      <c r="C106" s="233"/>
      <c r="D106" s="234" t="s">
        <v>1022</v>
      </c>
      <c r="E106" s="74">
        <v>120</v>
      </c>
      <c r="F106" s="238">
        <f t="shared" si="2"/>
        <v>40</v>
      </c>
      <c r="G106" s="74">
        <v>2000</v>
      </c>
      <c r="H106" s="74">
        <v>4</v>
      </c>
      <c r="I106" s="74">
        <v>17.061658000000001</v>
      </c>
      <c r="J106" s="74">
        <v>74.351455000000001</v>
      </c>
      <c r="K106" s="224" t="s">
        <v>855</v>
      </c>
      <c r="L106" s="233"/>
      <c r="M106" s="74">
        <v>7.21</v>
      </c>
      <c r="N106" s="74">
        <v>72.8</v>
      </c>
      <c r="O106" s="74">
        <v>1.43</v>
      </c>
      <c r="P106" s="74">
        <v>1190</v>
      </c>
      <c r="Q106" s="74">
        <v>8.0000000000000004E-4</v>
      </c>
      <c r="R106" s="74">
        <v>595</v>
      </c>
      <c r="S106" s="74">
        <v>0.59</v>
      </c>
      <c r="T106" s="74">
        <v>27.62</v>
      </c>
      <c r="U106" s="74">
        <v>540</v>
      </c>
      <c r="V106" s="235">
        <v>0.2</v>
      </c>
      <c r="W106" s="74">
        <v>644</v>
      </c>
      <c r="X106" s="74">
        <v>16.399999999999999</v>
      </c>
      <c r="Y106" s="236">
        <v>89.5</v>
      </c>
      <c r="Z106" s="74">
        <v>6.66</v>
      </c>
      <c r="AA106" s="183">
        <v>80.819999999999993</v>
      </c>
      <c r="AB106" s="183">
        <v>0.18</v>
      </c>
      <c r="AC106" s="233">
        <v>459.18</v>
      </c>
      <c r="AD106" s="233">
        <v>2.0000000000000001E-4</v>
      </c>
      <c r="AE106" s="233">
        <v>3.3E-3</v>
      </c>
    </row>
    <row r="107" spans="1:31" ht="28.8" x14ac:dyDescent="0.3">
      <c r="A107" s="225">
        <v>64</v>
      </c>
      <c r="B107" s="233" t="s">
        <v>1023</v>
      </c>
      <c r="C107" s="233"/>
      <c r="D107" s="234" t="s">
        <v>379</v>
      </c>
      <c r="E107" s="74">
        <v>110</v>
      </c>
      <c r="F107" s="238">
        <f t="shared" si="2"/>
        <v>36.666666666666664</v>
      </c>
      <c r="G107" s="74">
        <v>2015</v>
      </c>
      <c r="H107" s="74">
        <v>7</v>
      </c>
      <c r="I107" s="74">
        <v>17.145969999999998</v>
      </c>
      <c r="J107" s="74">
        <v>74.333406999999994</v>
      </c>
      <c r="K107" s="224" t="s">
        <v>879</v>
      </c>
      <c r="L107" s="233"/>
      <c r="M107" s="74">
        <v>7.41</v>
      </c>
      <c r="N107" s="74">
        <v>94.6</v>
      </c>
      <c r="O107" s="74">
        <v>3.84</v>
      </c>
      <c r="P107" s="74">
        <v>982</v>
      </c>
      <c r="Q107" s="74">
        <v>1E-3</v>
      </c>
      <c r="R107" s="74">
        <v>491</v>
      </c>
      <c r="S107" s="74">
        <v>0.48</v>
      </c>
      <c r="T107" s="74">
        <v>27.62</v>
      </c>
      <c r="U107" s="74">
        <v>340</v>
      </c>
      <c r="V107" s="235">
        <v>0.33</v>
      </c>
      <c r="W107" s="74">
        <v>1000</v>
      </c>
      <c r="X107" s="74">
        <v>6.7</v>
      </c>
      <c r="Y107" s="236">
        <v>126.8</v>
      </c>
      <c r="Z107" s="74">
        <v>2.89</v>
      </c>
      <c r="AA107" s="183">
        <v>92.28</v>
      </c>
      <c r="AB107" s="183">
        <v>0.56999999999999995</v>
      </c>
      <c r="AC107" s="233">
        <v>247.72</v>
      </c>
      <c r="AD107" s="233">
        <v>1E-4</v>
      </c>
      <c r="AE107" s="233">
        <v>1.8100000000000002E-2</v>
      </c>
    </row>
    <row r="108" spans="1:31" ht="28.8" x14ac:dyDescent="0.3">
      <c r="A108" s="225">
        <v>65</v>
      </c>
      <c r="B108" s="233" t="s">
        <v>1024</v>
      </c>
      <c r="C108" s="233"/>
      <c r="D108" s="234" t="s">
        <v>1025</v>
      </c>
      <c r="E108" s="74">
        <v>120</v>
      </c>
      <c r="F108" s="238">
        <f t="shared" ref="F108:F151" si="3">E108/3</f>
        <v>40</v>
      </c>
      <c r="G108" s="74">
        <v>1998</v>
      </c>
      <c r="H108" s="74">
        <v>3</v>
      </c>
      <c r="I108" s="74">
        <v>17.144898000000001</v>
      </c>
      <c r="J108" s="74">
        <v>74.332830000000001</v>
      </c>
      <c r="K108" s="224" t="s">
        <v>879</v>
      </c>
      <c r="L108" s="233"/>
      <c r="M108" s="74">
        <v>7.33</v>
      </c>
      <c r="N108" s="74">
        <v>82.8</v>
      </c>
      <c r="O108" s="74">
        <v>3.79</v>
      </c>
      <c r="P108" s="74">
        <v>1021</v>
      </c>
      <c r="Q108" s="204">
        <v>1E-3</v>
      </c>
      <c r="R108" s="74">
        <v>510</v>
      </c>
      <c r="S108" s="75">
        <v>0.5</v>
      </c>
      <c r="T108" s="74">
        <v>27.74</v>
      </c>
      <c r="U108" s="74">
        <v>412</v>
      </c>
      <c r="V108" s="235">
        <v>0.36</v>
      </c>
      <c r="W108" s="75">
        <v>1152</v>
      </c>
      <c r="X108" s="74">
        <v>18.36</v>
      </c>
      <c r="Y108" s="236">
        <v>57.3</v>
      </c>
      <c r="Z108" s="74">
        <v>2.95</v>
      </c>
      <c r="AA108" s="183">
        <v>82.21</v>
      </c>
      <c r="AB108" s="183">
        <v>0.26</v>
      </c>
      <c r="AC108" s="233">
        <v>329.79</v>
      </c>
      <c r="AD108" s="233">
        <v>5.0000000000000001E-4</v>
      </c>
      <c r="AE108" s="233">
        <v>1.09E-2</v>
      </c>
    </row>
    <row r="109" spans="1:31" x14ac:dyDescent="0.3">
      <c r="A109" s="225">
        <v>66</v>
      </c>
      <c r="B109" s="233" t="s">
        <v>1026</v>
      </c>
      <c r="C109" s="233"/>
      <c r="D109" s="234" t="s">
        <v>1027</v>
      </c>
      <c r="E109" s="74">
        <v>150</v>
      </c>
      <c r="F109" s="238">
        <f t="shared" si="3"/>
        <v>50</v>
      </c>
      <c r="G109" s="74">
        <v>2001</v>
      </c>
      <c r="H109" s="74">
        <v>6</v>
      </c>
      <c r="I109" s="74">
        <v>17.143152000000001</v>
      </c>
      <c r="J109" s="74">
        <v>74.321515000000005</v>
      </c>
      <c r="K109" s="224" t="s">
        <v>855</v>
      </c>
      <c r="L109" s="233"/>
      <c r="M109" s="74">
        <v>7.47</v>
      </c>
      <c r="N109" s="74">
        <v>87</v>
      </c>
      <c r="O109" s="74">
        <v>4.01</v>
      </c>
      <c r="P109" s="74">
        <v>1417</v>
      </c>
      <c r="Q109" s="74">
        <v>6.9999999999999999E-4</v>
      </c>
      <c r="R109" s="74">
        <v>708</v>
      </c>
      <c r="S109" s="74">
        <v>0.71</v>
      </c>
      <c r="T109" s="74">
        <v>27.67</v>
      </c>
      <c r="U109" s="74">
        <v>488</v>
      </c>
      <c r="V109" s="235">
        <v>0.45</v>
      </c>
      <c r="W109" s="74">
        <v>1036</v>
      </c>
      <c r="X109" s="74">
        <v>11.3</v>
      </c>
      <c r="Y109" s="236">
        <v>114.9</v>
      </c>
      <c r="Z109" s="74">
        <v>9.02</v>
      </c>
      <c r="AA109" s="183">
        <v>92.63</v>
      </c>
      <c r="AB109" s="183">
        <v>0.54</v>
      </c>
      <c r="AC109" s="233">
        <v>395.37</v>
      </c>
      <c r="AD109" s="233">
        <v>2.9999999999999997E-4</v>
      </c>
      <c r="AE109" s="233">
        <v>1.12E-2</v>
      </c>
    </row>
    <row r="110" spans="1:31" x14ac:dyDescent="0.3">
      <c r="A110" s="225">
        <v>67</v>
      </c>
      <c r="B110" s="233" t="s">
        <v>1028</v>
      </c>
      <c r="C110" s="233"/>
      <c r="D110" s="234" t="s">
        <v>1029</v>
      </c>
      <c r="E110" s="74">
        <v>200</v>
      </c>
      <c r="F110" s="238">
        <f t="shared" si="3"/>
        <v>66.666666666666671</v>
      </c>
      <c r="G110" s="74">
        <v>2008</v>
      </c>
      <c r="H110" s="74">
        <v>3</v>
      </c>
      <c r="I110" s="74">
        <v>17.139842000000002</v>
      </c>
      <c r="J110" s="74">
        <v>74.321292999999997</v>
      </c>
      <c r="K110" s="224" t="s">
        <v>855</v>
      </c>
      <c r="L110" s="233"/>
      <c r="M110" s="74">
        <v>7.84</v>
      </c>
      <c r="N110" s="74">
        <v>63.6</v>
      </c>
      <c r="O110" s="74">
        <v>3.99</v>
      </c>
      <c r="P110" s="74">
        <v>1387</v>
      </c>
      <c r="Q110" s="74">
        <v>6.9999999999999999E-4</v>
      </c>
      <c r="R110" s="74">
        <v>674</v>
      </c>
      <c r="S110" s="74">
        <v>0.67</v>
      </c>
      <c r="T110" s="74">
        <v>27.62</v>
      </c>
      <c r="U110" s="74">
        <v>528</v>
      </c>
      <c r="V110" s="235">
        <v>1.53</v>
      </c>
      <c r="W110" s="74">
        <v>968</v>
      </c>
      <c r="X110" s="74">
        <v>10.199999999999999</v>
      </c>
      <c r="Y110" s="236">
        <v>67.2</v>
      </c>
      <c r="Z110" s="74">
        <v>6.95</v>
      </c>
      <c r="AA110" s="183">
        <v>83.44</v>
      </c>
      <c r="AB110" s="183">
        <v>0.81</v>
      </c>
      <c r="AC110" s="233">
        <v>444.56</v>
      </c>
      <c r="AD110" s="233">
        <v>1E-4</v>
      </c>
      <c r="AE110" s="233">
        <v>1.2699999999999999E-2</v>
      </c>
    </row>
    <row r="111" spans="1:31" x14ac:dyDescent="0.3">
      <c r="A111" s="225">
        <v>68</v>
      </c>
      <c r="B111" s="233" t="s">
        <v>1030</v>
      </c>
      <c r="C111" s="233"/>
      <c r="D111" s="234" t="s">
        <v>1031</v>
      </c>
      <c r="E111" s="74">
        <v>150</v>
      </c>
      <c r="F111" s="238">
        <f t="shared" si="3"/>
        <v>50</v>
      </c>
      <c r="G111" s="74">
        <v>2004</v>
      </c>
      <c r="H111" s="74">
        <v>5</v>
      </c>
      <c r="I111" s="74">
        <v>17.127669999999998</v>
      </c>
      <c r="J111" s="74">
        <v>74.316422000000003</v>
      </c>
      <c r="K111" s="224" t="s">
        <v>855</v>
      </c>
      <c r="L111" s="233"/>
      <c r="M111" s="74">
        <v>7.55</v>
      </c>
      <c r="N111" s="74">
        <v>79.900000000000006</v>
      </c>
      <c r="O111" s="74">
        <v>3.1</v>
      </c>
      <c r="P111" s="74">
        <v>980</v>
      </c>
      <c r="Q111" s="74">
        <v>5.0000000000000001E-4</v>
      </c>
      <c r="R111" s="74">
        <v>880</v>
      </c>
      <c r="S111" s="74">
        <v>0.71</v>
      </c>
      <c r="T111" s="74">
        <v>27.63</v>
      </c>
      <c r="U111" s="74">
        <v>532</v>
      </c>
      <c r="V111" s="235">
        <v>0.36</v>
      </c>
      <c r="W111" s="74">
        <v>1036</v>
      </c>
      <c r="X111" s="74">
        <v>6.5</v>
      </c>
      <c r="Y111" s="236">
        <v>60.6</v>
      </c>
      <c r="Z111" s="74">
        <v>8.9</v>
      </c>
      <c r="AA111" s="183">
        <v>84.57</v>
      </c>
      <c r="AB111" s="183">
        <v>1.7</v>
      </c>
      <c r="AC111" s="233">
        <v>447.43</v>
      </c>
      <c r="AD111" s="233">
        <v>5.9999999999999995E-4</v>
      </c>
      <c r="AE111" s="233">
        <v>6.6E-3</v>
      </c>
    </row>
    <row r="112" spans="1:31" x14ac:dyDescent="0.3">
      <c r="A112" s="225">
        <v>69</v>
      </c>
      <c r="B112" s="233" t="s">
        <v>1032</v>
      </c>
      <c r="C112" s="233"/>
      <c r="D112" s="234" t="s">
        <v>1033</v>
      </c>
      <c r="E112" s="74">
        <v>120</v>
      </c>
      <c r="F112" s="238">
        <f t="shared" si="3"/>
        <v>40</v>
      </c>
      <c r="G112" s="74" t="s">
        <v>854</v>
      </c>
      <c r="H112" s="74">
        <v>6</v>
      </c>
      <c r="I112" s="74">
        <v>17.116498</v>
      </c>
      <c r="J112" s="74">
        <v>74.312092000000007</v>
      </c>
      <c r="K112" s="224" t="s">
        <v>855</v>
      </c>
      <c r="L112" s="233"/>
      <c r="M112" s="74">
        <v>7.43</v>
      </c>
      <c r="N112" s="74">
        <v>68.599999999999994</v>
      </c>
      <c r="O112" s="74">
        <v>3.48</v>
      </c>
      <c r="P112" s="74">
        <v>1099</v>
      </c>
      <c r="Q112" s="74">
        <v>8.9999999999999998E-4</v>
      </c>
      <c r="R112" s="74">
        <v>550</v>
      </c>
      <c r="S112" s="74">
        <v>0.54</v>
      </c>
      <c r="T112" s="74">
        <v>27.77</v>
      </c>
      <c r="U112" s="74">
        <v>528</v>
      </c>
      <c r="V112" s="235">
        <v>0.55000000000000004</v>
      </c>
      <c r="W112" s="74">
        <v>1164</v>
      </c>
      <c r="X112" s="74">
        <v>7.4</v>
      </c>
      <c r="Y112" s="236">
        <v>58.1</v>
      </c>
      <c r="Z112" s="74">
        <v>9.09</v>
      </c>
      <c r="AA112" s="183">
        <v>109.17</v>
      </c>
      <c r="AB112" s="183">
        <v>37.340000000000003</v>
      </c>
      <c r="AC112" s="233">
        <v>418.83</v>
      </c>
      <c r="AD112" s="233">
        <v>4.0000000000000002E-4</v>
      </c>
      <c r="AE112" s="233">
        <v>8.9999999999999993E-3</v>
      </c>
    </row>
    <row r="113" spans="1:31" x14ac:dyDescent="0.3">
      <c r="A113" s="225">
        <v>70</v>
      </c>
      <c r="B113" s="233" t="s">
        <v>1034</v>
      </c>
      <c r="C113" s="233"/>
      <c r="D113" s="234" t="s">
        <v>890</v>
      </c>
      <c r="E113" s="74">
        <v>200</v>
      </c>
      <c r="F113" s="238">
        <f t="shared" si="3"/>
        <v>66.666666666666671</v>
      </c>
      <c r="G113" s="74" t="s">
        <v>854</v>
      </c>
      <c r="H113" s="74">
        <v>5</v>
      </c>
      <c r="I113" s="74">
        <v>17.118231999999999</v>
      </c>
      <c r="J113" s="74">
        <v>74.310805000000002</v>
      </c>
      <c r="K113" s="224" t="s">
        <v>855</v>
      </c>
      <c r="L113" s="233"/>
      <c r="M113" s="75">
        <v>7.5</v>
      </c>
      <c r="N113" s="75">
        <v>67.7</v>
      </c>
      <c r="O113" s="75">
        <v>3.7</v>
      </c>
      <c r="P113" s="74">
        <v>2313</v>
      </c>
      <c r="Q113" s="74">
        <v>4.0000000000000002E-4</v>
      </c>
      <c r="R113" s="74">
        <v>1157</v>
      </c>
      <c r="S113" s="74">
        <v>1.18</v>
      </c>
      <c r="T113" s="74">
        <v>27.85</v>
      </c>
      <c r="U113" s="74">
        <v>248</v>
      </c>
      <c r="V113" s="235">
        <v>0.64</v>
      </c>
      <c r="W113" s="74">
        <v>1384</v>
      </c>
      <c r="X113" s="74">
        <v>5.4</v>
      </c>
      <c r="Y113" s="236">
        <v>127.2</v>
      </c>
      <c r="Z113" s="74">
        <v>24.349999999999998</v>
      </c>
      <c r="AA113" s="183">
        <v>100.04</v>
      </c>
      <c r="AB113" s="183">
        <v>0.28000000000000003</v>
      </c>
      <c r="AC113" s="233">
        <v>147.96</v>
      </c>
      <c r="AD113" s="233">
        <v>5.0000000000000001E-4</v>
      </c>
      <c r="AE113" s="233">
        <v>0</v>
      </c>
    </row>
    <row r="114" spans="1:31" x14ac:dyDescent="0.3">
      <c r="A114" s="225">
        <v>71</v>
      </c>
      <c r="B114" s="233" t="s">
        <v>1035</v>
      </c>
      <c r="C114" s="233"/>
      <c r="D114" s="234" t="s">
        <v>890</v>
      </c>
      <c r="E114" s="74">
        <v>200</v>
      </c>
      <c r="F114" s="238">
        <f t="shared" si="3"/>
        <v>66.666666666666671</v>
      </c>
      <c r="G114" s="74" t="s">
        <v>854</v>
      </c>
      <c r="H114" s="74">
        <v>1</v>
      </c>
      <c r="I114" s="74">
        <v>17.117515000000001</v>
      </c>
      <c r="J114" s="74">
        <v>74.312049999999999</v>
      </c>
      <c r="K114" s="224" t="s">
        <v>855</v>
      </c>
      <c r="L114" s="233"/>
      <c r="M114" s="74">
        <v>7.14</v>
      </c>
      <c r="N114" s="74">
        <v>85.9</v>
      </c>
      <c r="O114" s="74">
        <v>3.75</v>
      </c>
      <c r="P114" s="74">
        <v>1740</v>
      </c>
      <c r="Q114" s="74">
        <v>5.9999999999999995E-4</v>
      </c>
      <c r="R114" s="74">
        <v>870</v>
      </c>
      <c r="S114" s="74">
        <v>0.88</v>
      </c>
      <c r="T114" s="74">
        <v>27.63</v>
      </c>
      <c r="U114" s="74">
        <v>440</v>
      </c>
      <c r="V114" s="235">
        <v>0.38</v>
      </c>
      <c r="W114" s="74">
        <v>827</v>
      </c>
      <c r="X114" s="74">
        <v>6.6</v>
      </c>
      <c r="Y114" s="236">
        <v>134.6</v>
      </c>
      <c r="Z114" s="74">
        <v>12.899999999999999</v>
      </c>
      <c r="AA114" s="183">
        <v>102.3</v>
      </c>
      <c r="AB114" s="183">
        <v>3.44</v>
      </c>
      <c r="AC114" s="233">
        <v>337.7</v>
      </c>
      <c r="AD114" s="233">
        <v>2.9999999999999997E-4</v>
      </c>
      <c r="AE114" s="233">
        <v>1.09E-2</v>
      </c>
    </row>
    <row r="115" spans="1:31" x14ac:dyDescent="0.3">
      <c r="A115" s="225">
        <v>72</v>
      </c>
      <c r="B115" s="233" t="s">
        <v>1036</v>
      </c>
      <c r="C115" s="233"/>
      <c r="D115" s="234" t="s">
        <v>1037</v>
      </c>
      <c r="E115" s="74">
        <v>150</v>
      </c>
      <c r="F115" s="238">
        <f t="shared" si="3"/>
        <v>50</v>
      </c>
      <c r="G115" s="74">
        <v>2005</v>
      </c>
      <c r="H115" s="74">
        <v>4</v>
      </c>
      <c r="I115" s="74">
        <v>17.146816000000001</v>
      </c>
      <c r="J115" s="74">
        <v>74.327068999999995</v>
      </c>
      <c r="K115" s="224" t="s">
        <v>1038</v>
      </c>
      <c r="L115" s="233"/>
      <c r="M115" s="74">
        <v>7.72</v>
      </c>
      <c r="N115" s="74">
        <v>67.8</v>
      </c>
      <c r="O115" s="74">
        <v>3.81</v>
      </c>
      <c r="P115" s="74">
        <v>947</v>
      </c>
      <c r="Q115" s="74">
        <v>1.1000000000000001E-3</v>
      </c>
      <c r="R115" s="74">
        <v>474</v>
      </c>
      <c r="S115" s="74">
        <v>0.46</v>
      </c>
      <c r="T115" s="74">
        <v>27.68</v>
      </c>
      <c r="U115" s="74">
        <v>480</v>
      </c>
      <c r="V115" s="235">
        <v>0.46</v>
      </c>
      <c r="W115" s="74">
        <v>946</v>
      </c>
      <c r="X115" s="74">
        <v>8.1</v>
      </c>
      <c r="Y115" s="236">
        <v>68.400000000000006</v>
      </c>
      <c r="Z115" s="74">
        <v>2.92</v>
      </c>
      <c r="AA115" s="183">
        <v>88.77</v>
      </c>
      <c r="AB115" s="183">
        <v>0.02</v>
      </c>
      <c r="AC115" s="233">
        <v>391.23</v>
      </c>
      <c r="AD115" s="233">
        <v>2.0000000000000001E-4</v>
      </c>
      <c r="AE115" s="233">
        <v>9.7999999999999997E-3</v>
      </c>
    </row>
    <row r="116" spans="1:31" x14ac:dyDescent="0.3">
      <c r="A116" s="225">
        <v>73</v>
      </c>
      <c r="B116" s="233" t="s">
        <v>1039</v>
      </c>
      <c r="C116" s="233"/>
      <c r="D116" s="234" t="s">
        <v>1040</v>
      </c>
      <c r="E116" s="74">
        <v>164</v>
      </c>
      <c r="F116" s="238">
        <f t="shared" si="3"/>
        <v>54.666666666666664</v>
      </c>
      <c r="G116" s="74">
        <v>1990</v>
      </c>
      <c r="H116" s="74">
        <v>3</v>
      </c>
      <c r="I116" s="74">
        <v>17.136301</v>
      </c>
      <c r="J116" s="74">
        <v>74.348899000000003</v>
      </c>
      <c r="K116" s="224" t="s">
        <v>1038</v>
      </c>
      <c r="L116" s="233"/>
      <c r="M116" s="74">
        <v>7.51</v>
      </c>
      <c r="N116" s="74">
        <v>59.8</v>
      </c>
      <c r="O116" s="74">
        <v>1.57</v>
      </c>
      <c r="P116" s="74">
        <v>807</v>
      </c>
      <c r="Q116" s="74">
        <v>1.1999999999999999E-3</v>
      </c>
      <c r="R116" s="74">
        <v>404</v>
      </c>
      <c r="S116" s="74">
        <v>0.39</v>
      </c>
      <c r="T116" s="74">
        <v>27.64</v>
      </c>
      <c r="U116" s="74">
        <v>432</v>
      </c>
      <c r="V116" s="235">
        <v>0.28000000000000003</v>
      </c>
      <c r="W116" s="74">
        <v>886</v>
      </c>
      <c r="X116" s="74">
        <v>3.4</v>
      </c>
      <c r="Y116" s="236">
        <v>158.6</v>
      </c>
      <c r="Z116" s="74">
        <v>2.4800000000000004</v>
      </c>
      <c r="AA116" s="183">
        <v>94.45</v>
      </c>
      <c r="AB116" s="183">
        <v>0.08</v>
      </c>
      <c r="AC116" s="233">
        <v>337.55</v>
      </c>
      <c r="AD116" s="233">
        <v>2.9999999999999997E-4</v>
      </c>
      <c r="AE116" s="233">
        <v>2.3999999999999998E-3</v>
      </c>
    </row>
    <row r="117" spans="1:31" x14ac:dyDescent="0.3">
      <c r="A117" s="225">
        <v>74</v>
      </c>
      <c r="B117" s="233" t="s">
        <v>1041</v>
      </c>
      <c r="C117" s="233"/>
      <c r="D117" s="234" t="s">
        <v>1042</v>
      </c>
      <c r="E117" s="74">
        <v>140</v>
      </c>
      <c r="F117" s="238">
        <f t="shared" si="3"/>
        <v>46.666666666666664</v>
      </c>
      <c r="G117" s="74">
        <v>2002</v>
      </c>
      <c r="H117" s="74">
        <v>4</v>
      </c>
      <c r="I117" s="74">
        <v>17.135697</v>
      </c>
      <c r="J117" s="74">
        <v>74.350629999999995</v>
      </c>
      <c r="K117" s="224" t="s">
        <v>710</v>
      </c>
      <c r="L117" s="233"/>
      <c r="M117" s="74">
        <v>7.62</v>
      </c>
      <c r="N117" s="74">
        <v>81.3</v>
      </c>
      <c r="O117" s="74">
        <v>3.76</v>
      </c>
      <c r="P117" s="74">
        <v>874</v>
      </c>
      <c r="Q117" s="74">
        <v>1.1000000000000001E-3</v>
      </c>
      <c r="R117" s="74">
        <v>437</v>
      </c>
      <c r="S117" s="74">
        <v>0.43</v>
      </c>
      <c r="T117" s="74">
        <v>27.85</v>
      </c>
      <c r="U117" s="74">
        <v>320</v>
      </c>
      <c r="V117" s="235">
        <v>0.65</v>
      </c>
      <c r="W117" s="74">
        <v>728</v>
      </c>
      <c r="X117" s="74">
        <v>4.7</v>
      </c>
      <c r="Y117" s="236">
        <v>165.2</v>
      </c>
      <c r="Z117" s="74">
        <v>4.41</v>
      </c>
      <c r="AA117" s="183">
        <v>50.07</v>
      </c>
      <c r="AB117" s="183">
        <v>0.48</v>
      </c>
      <c r="AC117" s="233">
        <v>269.93</v>
      </c>
      <c r="AD117" s="233">
        <v>2.9999999999999997E-4</v>
      </c>
      <c r="AE117" s="233">
        <v>1.4E-3</v>
      </c>
    </row>
    <row r="118" spans="1:31" x14ac:dyDescent="0.3">
      <c r="A118" s="225">
        <v>75</v>
      </c>
      <c r="B118" s="233" t="s">
        <v>1043</v>
      </c>
      <c r="C118" s="233"/>
      <c r="D118" s="234" t="s">
        <v>1044</v>
      </c>
      <c r="E118" s="74">
        <v>60</v>
      </c>
      <c r="F118" s="238">
        <f t="shared" si="3"/>
        <v>20</v>
      </c>
      <c r="G118" s="74">
        <v>2005</v>
      </c>
      <c r="H118" s="74">
        <v>6</v>
      </c>
      <c r="I118" s="74">
        <v>17.133841</v>
      </c>
      <c r="J118" s="74">
        <v>74.354349999999997</v>
      </c>
      <c r="K118" s="224" t="s">
        <v>855</v>
      </c>
      <c r="L118" s="233"/>
      <c r="M118" s="74">
        <v>7.1</v>
      </c>
      <c r="N118" s="74">
        <v>94</v>
      </c>
      <c r="O118" s="74">
        <v>3.75</v>
      </c>
      <c r="P118" s="74">
        <v>1041</v>
      </c>
      <c r="Q118" s="74">
        <v>1E-3</v>
      </c>
      <c r="R118" s="74">
        <v>520</v>
      </c>
      <c r="S118" s="74">
        <v>0.51</v>
      </c>
      <c r="T118" s="74">
        <v>27.88</v>
      </c>
      <c r="U118" s="74">
        <v>380</v>
      </c>
      <c r="V118" s="235">
        <v>0.15</v>
      </c>
      <c r="W118" s="74">
        <v>817</v>
      </c>
      <c r="X118" s="74">
        <v>8.1</v>
      </c>
      <c r="Y118" s="236">
        <v>181.9</v>
      </c>
      <c r="Z118" s="74">
        <v>3.6500000000000004</v>
      </c>
      <c r="AA118" s="183">
        <v>90.75</v>
      </c>
      <c r="AB118" s="183">
        <v>1.31</v>
      </c>
      <c r="AC118" s="233">
        <v>289.25</v>
      </c>
      <c r="AD118" s="233">
        <v>2.9999999999999997E-4</v>
      </c>
      <c r="AE118" s="233">
        <v>9.7000000000000003E-3</v>
      </c>
    </row>
    <row r="119" spans="1:31" x14ac:dyDescent="0.3">
      <c r="A119" s="225">
        <v>76</v>
      </c>
      <c r="B119" s="233" t="s">
        <v>1045</v>
      </c>
      <c r="C119" s="233"/>
      <c r="D119" s="234" t="s">
        <v>1046</v>
      </c>
      <c r="E119" s="74">
        <v>150</v>
      </c>
      <c r="F119" s="238">
        <f t="shared" si="3"/>
        <v>50</v>
      </c>
      <c r="G119" s="74" t="s">
        <v>854</v>
      </c>
      <c r="H119" s="74">
        <v>5</v>
      </c>
      <c r="I119" s="74">
        <v>17.132162999999998</v>
      </c>
      <c r="J119" s="74">
        <v>74.358337000000006</v>
      </c>
      <c r="K119" s="224" t="s">
        <v>855</v>
      </c>
      <c r="L119" s="233"/>
      <c r="M119" s="74">
        <v>7.6</v>
      </c>
      <c r="N119" s="74">
        <v>84.2</v>
      </c>
      <c r="O119" s="74">
        <v>4.25</v>
      </c>
      <c r="P119" s="74">
        <v>958</v>
      </c>
      <c r="Q119" s="74">
        <v>1E-3</v>
      </c>
      <c r="R119" s="74">
        <v>479</v>
      </c>
      <c r="S119" s="74">
        <v>0.47</v>
      </c>
      <c r="T119" s="74">
        <v>27.75</v>
      </c>
      <c r="U119" s="74">
        <v>500</v>
      </c>
      <c r="V119" s="235">
        <v>0.6</v>
      </c>
      <c r="W119" s="74">
        <v>1032</v>
      </c>
      <c r="X119" s="74">
        <v>6.6</v>
      </c>
      <c r="Y119" s="236">
        <v>143.5</v>
      </c>
      <c r="Z119" s="74">
        <v>5.1800000000000006</v>
      </c>
      <c r="AA119" s="183">
        <v>85.82</v>
      </c>
      <c r="AB119" s="183">
        <v>0.04</v>
      </c>
      <c r="AC119" s="233">
        <v>414.18</v>
      </c>
      <c r="AD119" s="233">
        <v>2.9999999999999997E-4</v>
      </c>
      <c r="AE119" s="233">
        <v>1.12E-2</v>
      </c>
    </row>
    <row r="120" spans="1:31" ht="28.8" x14ac:dyDescent="0.3">
      <c r="A120" s="225">
        <v>77</v>
      </c>
      <c r="B120" s="233" t="s">
        <v>1047</v>
      </c>
      <c r="C120" s="233"/>
      <c r="D120" s="234" t="s">
        <v>1048</v>
      </c>
      <c r="E120" s="74">
        <v>120</v>
      </c>
      <c r="F120" s="238">
        <f t="shared" si="3"/>
        <v>40</v>
      </c>
      <c r="G120" s="74">
        <v>1996</v>
      </c>
      <c r="H120" s="74">
        <v>7</v>
      </c>
      <c r="I120" s="74">
        <v>17.131789999999999</v>
      </c>
      <c r="J120" s="74">
        <v>74.359279999999998</v>
      </c>
      <c r="K120" s="224" t="s">
        <v>879</v>
      </c>
      <c r="L120" s="233"/>
      <c r="M120" s="74">
        <v>7.51</v>
      </c>
      <c r="N120" s="74">
        <v>87.5</v>
      </c>
      <c r="O120" s="74">
        <v>1.8</v>
      </c>
      <c r="P120" s="74">
        <v>884</v>
      </c>
      <c r="Q120" s="74">
        <v>1.1000000000000001E-3</v>
      </c>
      <c r="R120" s="74">
        <v>442</v>
      </c>
      <c r="S120" s="74">
        <v>0.43</v>
      </c>
      <c r="T120" s="74">
        <v>27.7</v>
      </c>
      <c r="U120" s="74">
        <v>320</v>
      </c>
      <c r="V120" s="235">
        <v>0.2</v>
      </c>
      <c r="W120" s="74">
        <v>1142</v>
      </c>
      <c r="X120" s="74">
        <v>5.9</v>
      </c>
      <c r="Y120" s="236">
        <v>190</v>
      </c>
      <c r="Z120" s="74">
        <v>3.5700000000000003</v>
      </c>
      <c r="AA120" s="183">
        <v>77.78</v>
      </c>
      <c r="AB120" s="183">
        <v>0.03</v>
      </c>
      <c r="AC120" s="233">
        <v>242.22</v>
      </c>
      <c r="AD120" s="233">
        <v>2.9999999999999997E-4</v>
      </c>
      <c r="AE120" s="233">
        <v>2.3E-3</v>
      </c>
    </row>
    <row r="121" spans="1:31" x14ac:dyDescent="0.3">
      <c r="A121" s="225">
        <v>78</v>
      </c>
      <c r="B121" s="233" t="s">
        <v>1049</v>
      </c>
      <c r="C121" s="233"/>
      <c r="D121" s="234" t="s">
        <v>1050</v>
      </c>
      <c r="E121" s="74">
        <v>120</v>
      </c>
      <c r="F121" s="238">
        <f t="shared" si="3"/>
        <v>40</v>
      </c>
      <c r="G121" s="74">
        <v>2008</v>
      </c>
      <c r="H121" s="74">
        <v>3</v>
      </c>
      <c r="I121" s="74">
        <v>17.130884999999999</v>
      </c>
      <c r="J121" s="74">
        <v>74.360262000000006</v>
      </c>
      <c r="K121" s="224" t="s">
        <v>1051</v>
      </c>
      <c r="L121" s="233"/>
      <c r="M121" s="74">
        <v>7.3</v>
      </c>
      <c r="N121" s="74">
        <v>83</v>
      </c>
      <c r="O121" s="74">
        <v>3.8</v>
      </c>
      <c r="P121" s="74">
        <v>764</v>
      </c>
      <c r="Q121" s="74">
        <v>1.2999999999999999E-3</v>
      </c>
      <c r="R121" s="74">
        <v>382</v>
      </c>
      <c r="S121" s="74">
        <v>0.37</v>
      </c>
      <c r="T121" s="74">
        <v>27.62</v>
      </c>
      <c r="U121" s="74">
        <v>392</v>
      </c>
      <c r="V121" s="235">
        <v>1.44</v>
      </c>
      <c r="W121" s="74">
        <v>880</v>
      </c>
      <c r="X121" s="74">
        <v>10.5</v>
      </c>
      <c r="Y121" s="236">
        <v>158.5</v>
      </c>
      <c r="Z121" s="74">
        <v>3.42</v>
      </c>
      <c r="AA121" s="183">
        <v>96.14</v>
      </c>
      <c r="AB121" s="183">
        <v>0.04</v>
      </c>
      <c r="AC121" s="233">
        <v>295.86</v>
      </c>
      <c r="AD121" s="233">
        <v>1E-4</v>
      </c>
      <c r="AE121" s="233">
        <v>3.8999999999999998E-3</v>
      </c>
    </row>
    <row r="122" spans="1:31" x14ac:dyDescent="0.3">
      <c r="A122" s="225">
        <v>79</v>
      </c>
      <c r="B122" s="233" t="s">
        <v>1052</v>
      </c>
      <c r="C122" s="233"/>
      <c r="D122" s="234" t="s">
        <v>1053</v>
      </c>
      <c r="E122" s="74">
        <v>100</v>
      </c>
      <c r="F122" s="238">
        <f t="shared" si="3"/>
        <v>33.333333333333336</v>
      </c>
      <c r="G122" s="74">
        <v>2010</v>
      </c>
      <c r="H122" s="74">
        <v>4</v>
      </c>
      <c r="I122" s="74">
        <v>17.133343</v>
      </c>
      <c r="J122" s="74">
        <v>74.355159999999998</v>
      </c>
      <c r="K122" s="224" t="s">
        <v>855</v>
      </c>
      <c r="L122" s="233"/>
      <c r="M122" s="74">
        <v>7.52</v>
      </c>
      <c r="N122" s="74">
        <v>77</v>
      </c>
      <c r="O122" s="74">
        <v>4.13</v>
      </c>
      <c r="P122" s="74">
        <v>1218</v>
      </c>
      <c r="Q122" s="74">
        <v>8.0000000000000004E-4</v>
      </c>
      <c r="R122" s="74">
        <v>609</v>
      </c>
      <c r="S122" s="74">
        <v>0.6</v>
      </c>
      <c r="T122" s="74">
        <v>27.76</v>
      </c>
      <c r="U122" s="74">
        <v>292</v>
      </c>
      <c r="V122" s="235">
        <v>0.77</v>
      </c>
      <c r="W122" s="74">
        <v>796</v>
      </c>
      <c r="X122" s="74">
        <v>4.8</v>
      </c>
      <c r="Y122" s="236">
        <v>83.7</v>
      </c>
      <c r="Z122" s="74">
        <v>8.57</v>
      </c>
      <c r="AA122" s="183">
        <v>101.84</v>
      </c>
      <c r="AB122" s="183">
        <v>0.1</v>
      </c>
      <c r="AC122" s="233">
        <v>190.16</v>
      </c>
      <c r="AD122" s="233">
        <v>6.9999999999999999E-4</v>
      </c>
      <c r="AE122" s="233">
        <v>1.0699999999999999E-2</v>
      </c>
    </row>
    <row r="123" spans="1:31" x14ac:dyDescent="0.3">
      <c r="A123" s="225">
        <v>80</v>
      </c>
      <c r="B123" s="233" t="s">
        <v>1054</v>
      </c>
      <c r="C123" s="233"/>
      <c r="D123" s="234" t="s">
        <v>1055</v>
      </c>
      <c r="E123" s="74">
        <v>100</v>
      </c>
      <c r="F123" s="238">
        <f t="shared" si="3"/>
        <v>33.333333333333336</v>
      </c>
      <c r="G123" s="74" t="s">
        <v>854</v>
      </c>
      <c r="H123" s="74">
        <v>6</v>
      </c>
      <c r="I123" s="74">
        <v>17.127932000000001</v>
      </c>
      <c r="J123" s="74">
        <v>74.352123000000006</v>
      </c>
      <c r="K123" s="224" t="s">
        <v>855</v>
      </c>
      <c r="L123" s="233"/>
      <c r="M123" s="74">
        <v>7.21</v>
      </c>
      <c r="N123" s="74">
        <v>95.5</v>
      </c>
      <c r="O123" s="74">
        <v>3.75</v>
      </c>
      <c r="P123" s="74">
        <v>1165</v>
      </c>
      <c r="Q123" s="74">
        <v>8.9999999999999998E-4</v>
      </c>
      <c r="R123" s="74">
        <v>582</v>
      </c>
      <c r="S123" s="74">
        <v>0.56999999999999995</v>
      </c>
      <c r="T123" s="74">
        <v>28.03</v>
      </c>
      <c r="U123" s="74">
        <v>492</v>
      </c>
      <c r="V123" s="235">
        <v>0.6</v>
      </c>
      <c r="W123" s="74">
        <v>1080</v>
      </c>
      <c r="X123" s="74">
        <v>8.4</v>
      </c>
      <c r="Y123" s="236">
        <v>165.8</v>
      </c>
      <c r="Z123" s="74">
        <v>10.199999999999999</v>
      </c>
      <c r="AA123" s="183">
        <v>66.510000000000005</v>
      </c>
      <c r="AB123" s="183">
        <v>0.14000000000000001</v>
      </c>
      <c r="AC123" s="233">
        <v>275.5</v>
      </c>
      <c r="AD123" s="233">
        <v>1E-4</v>
      </c>
      <c r="AE123" s="233">
        <v>8.8000000000000005E-3</v>
      </c>
    </row>
    <row r="124" spans="1:31" x14ac:dyDescent="0.3">
      <c r="A124" s="225">
        <v>81</v>
      </c>
      <c r="B124" s="233" t="s">
        <v>1056</v>
      </c>
      <c r="C124" s="233"/>
      <c r="D124" s="234" t="s">
        <v>1057</v>
      </c>
      <c r="E124" s="74">
        <v>100</v>
      </c>
      <c r="F124" s="238">
        <f t="shared" si="3"/>
        <v>33.333333333333336</v>
      </c>
      <c r="G124" s="74" t="s">
        <v>854</v>
      </c>
      <c r="H124" s="74">
        <v>4</v>
      </c>
      <c r="I124" s="74">
        <v>17.135307999999998</v>
      </c>
      <c r="J124" s="74">
        <v>74.350786999999997</v>
      </c>
      <c r="K124" s="224" t="s">
        <v>710</v>
      </c>
      <c r="L124" s="233"/>
      <c r="M124" s="74">
        <v>7.12</v>
      </c>
      <c r="N124" s="74">
        <v>90</v>
      </c>
      <c r="O124" s="74">
        <v>3.55</v>
      </c>
      <c r="P124" s="74">
        <v>869</v>
      </c>
      <c r="Q124" s="74">
        <v>1.1999999999999999E-3</v>
      </c>
      <c r="R124" s="74">
        <v>435</v>
      </c>
      <c r="S124" s="74">
        <v>0.42</v>
      </c>
      <c r="T124" s="74">
        <v>27.69</v>
      </c>
      <c r="U124" s="74">
        <v>360</v>
      </c>
      <c r="V124" s="235">
        <v>0.56000000000000005</v>
      </c>
      <c r="W124" s="74">
        <v>874</v>
      </c>
      <c r="X124" s="74">
        <v>7.2</v>
      </c>
      <c r="Y124" s="236">
        <v>62.6</v>
      </c>
      <c r="Z124" s="74">
        <v>5.8100000000000005</v>
      </c>
      <c r="AA124" s="183">
        <v>84.5</v>
      </c>
      <c r="AB124" s="183">
        <v>0.14000000000000001</v>
      </c>
      <c r="AC124" s="233">
        <v>226.59</v>
      </c>
      <c r="AD124" s="233">
        <v>5.0000000000000001E-4</v>
      </c>
      <c r="AE124" s="233">
        <v>8.0000000000000002E-3</v>
      </c>
    </row>
    <row r="125" spans="1:31" ht="28.8" x14ac:dyDescent="0.3">
      <c r="A125" s="225">
        <v>82</v>
      </c>
      <c r="B125" s="233" t="s">
        <v>1058</v>
      </c>
      <c r="C125" s="233"/>
      <c r="D125" s="234" t="s">
        <v>1059</v>
      </c>
      <c r="E125" s="74">
        <v>40</v>
      </c>
      <c r="F125" s="238">
        <f t="shared" si="3"/>
        <v>13.333333333333334</v>
      </c>
      <c r="G125" s="74" t="s">
        <v>854</v>
      </c>
      <c r="H125" s="74">
        <v>7</v>
      </c>
      <c r="I125" s="74">
        <v>17.123297999999998</v>
      </c>
      <c r="J125" s="74">
        <v>74.351140000000001</v>
      </c>
      <c r="K125" s="224" t="s">
        <v>879</v>
      </c>
      <c r="L125" s="233"/>
      <c r="M125" s="74">
        <v>7.8</v>
      </c>
      <c r="N125" s="74">
        <v>55</v>
      </c>
      <c r="O125" s="74">
        <v>4.0999999999999996</v>
      </c>
      <c r="P125" s="74">
        <v>1085</v>
      </c>
      <c r="Q125" s="74">
        <v>8.9999999999999998E-4</v>
      </c>
      <c r="R125" s="74">
        <v>543</v>
      </c>
      <c r="S125" s="74">
        <v>0.53</v>
      </c>
      <c r="T125" s="74">
        <v>27.63</v>
      </c>
      <c r="U125" s="74">
        <v>296</v>
      </c>
      <c r="V125" s="235">
        <v>0.67</v>
      </c>
      <c r="W125" s="74">
        <v>649</v>
      </c>
      <c r="X125" s="74">
        <v>3.2</v>
      </c>
      <c r="Y125" s="236">
        <v>187.6</v>
      </c>
      <c r="Z125" s="74">
        <v>5.5</v>
      </c>
      <c r="AA125" s="183">
        <v>69.41</v>
      </c>
      <c r="AB125" s="183">
        <v>0.09</v>
      </c>
      <c r="AC125" s="233">
        <v>245.7</v>
      </c>
      <c r="AD125" s="233">
        <v>6.9999999999999999E-4</v>
      </c>
      <c r="AE125" s="233">
        <v>9.2999999999999992E-3</v>
      </c>
    </row>
    <row r="126" spans="1:31" x14ac:dyDescent="0.3">
      <c r="A126" s="225">
        <v>83</v>
      </c>
      <c r="B126" s="233" t="s">
        <v>1060</v>
      </c>
      <c r="C126" s="233"/>
      <c r="D126" s="234" t="s">
        <v>1061</v>
      </c>
      <c r="E126" s="74">
        <v>170</v>
      </c>
      <c r="F126" s="238">
        <f t="shared" si="3"/>
        <v>56.666666666666664</v>
      </c>
      <c r="G126" s="74">
        <v>2009</v>
      </c>
      <c r="H126" s="74">
        <v>3</v>
      </c>
      <c r="I126" s="74">
        <v>17.001512999999999</v>
      </c>
      <c r="J126" s="74">
        <v>74.319091999999998</v>
      </c>
      <c r="K126" s="224" t="s">
        <v>1062</v>
      </c>
      <c r="L126" s="233"/>
      <c r="M126" s="74">
        <v>7.29</v>
      </c>
      <c r="N126" s="74">
        <v>79</v>
      </c>
      <c r="O126" s="74">
        <v>3.9</v>
      </c>
      <c r="P126" s="74">
        <v>8650</v>
      </c>
      <c r="Q126" s="74">
        <v>1E-4</v>
      </c>
      <c r="R126" s="74">
        <v>4324</v>
      </c>
      <c r="S126" s="74">
        <v>4.8</v>
      </c>
      <c r="T126" s="74">
        <v>27.64</v>
      </c>
      <c r="U126" s="74">
        <v>384</v>
      </c>
      <c r="V126" s="235">
        <v>0.53</v>
      </c>
      <c r="W126" s="74">
        <v>827</v>
      </c>
      <c r="X126" s="74">
        <v>1.6</v>
      </c>
      <c r="Y126" s="236">
        <v>95.2</v>
      </c>
      <c r="Z126" s="74">
        <v>98.95</v>
      </c>
      <c r="AA126" s="183">
        <v>455.48</v>
      </c>
      <c r="AB126" s="183">
        <v>13.76</v>
      </c>
      <c r="AC126" s="233">
        <v>0</v>
      </c>
      <c r="AD126" s="233">
        <v>2.0000000000000001E-4</v>
      </c>
      <c r="AE126" s="233">
        <v>7.7000000000000002E-3</v>
      </c>
    </row>
    <row r="127" spans="1:31" x14ac:dyDescent="0.3">
      <c r="A127" s="225">
        <v>84</v>
      </c>
      <c r="B127" s="233" t="s">
        <v>1063</v>
      </c>
      <c r="C127" s="233"/>
      <c r="D127" s="234" t="s">
        <v>1064</v>
      </c>
      <c r="E127" s="74">
        <v>140</v>
      </c>
      <c r="F127" s="238">
        <f t="shared" si="3"/>
        <v>46.666666666666664</v>
      </c>
      <c r="G127" s="74">
        <v>20010</v>
      </c>
      <c r="H127" s="74">
        <v>2</v>
      </c>
      <c r="I127" s="74">
        <v>17.000377</v>
      </c>
      <c r="J127" s="74">
        <v>74.317036999999999</v>
      </c>
      <c r="K127" s="224" t="s">
        <v>1062</v>
      </c>
      <c r="L127" s="233"/>
      <c r="M127" s="74">
        <v>7.2</v>
      </c>
      <c r="N127" s="74">
        <v>88.4</v>
      </c>
      <c r="O127" s="74">
        <v>4.0999999999999996</v>
      </c>
      <c r="P127" s="74">
        <v>8117</v>
      </c>
      <c r="Q127" s="74">
        <v>1E-4</v>
      </c>
      <c r="R127" s="74">
        <v>4057</v>
      </c>
      <c r="S127" s="74">
        <v>4.4800000000000004</v>
      </c>
      <c r="T127" s="74">
        <v>27.58</v>
      </c>
      <c r="U127" s="74">
        <v>487</v>
      </c>
      <c r="V127" s="235">
        <v>0.73</v>
      </c>
      <c r="W127" s="74">
        <v>916</v>
      </c>
      <c r="X127" s="74">
        <v>2.9</v>
      </c>
      <c r="Y127" s="236">
        <v>57.6</v>
      </c>
      <c r="Z127" s="74">
        <v>86.7</v>
      </c>
      <c r="AA127" s="183">
        <v>468.56</v>
      </c>
      <c r="AB127" s="183">
        <v>12.96</v>
      </c>
      <c r="AC127" s="233">
        <v>0</v>
      </c>
      <c r="AD127" s="233">
        <v>5.0000000000000001E-4</v>
      </c>
      <c r="AE127" s="233">
        <v>1.0699999999999999E-2</v>
      </c>
    </row>
    <row r="128" spans="1:31" x14ac:dyDescent="0.3">
      <c r="A128" s="225">
        <v>85</v>
      </c>
      <c r="B128" s="233" t="s">
        <v>1065</v>
      </c>
      <c r="C128" s="233"/>
      <c r="D128" s="234" t="s">
        <v>1066</v>
      </c>
      <c r="E128" s="74">
        <v>250</v>
      </c>
      <c r="F128" s="237">
        <f t="shared" si="3"/>
        <v>83.333333333333329</v>
      </c>
      <c r="G128" s="74">
        <v>2005</v>
      </c>
      <c r="H128" s="74">
        <v>7</v>
      </c>
      <c r="I128" s="74">
        <v>16.39367</v>
      </c>
      <c r="J128" s="74">
        <v>74.313973000000004</v>
      </c>
      <c r="K128" s="224" t="s">
        <v>1062</v>
      </c>
      <c r="L128" s="233"/>
      <c r="M128" s="74">
        <v>6.96</v>
      </c>
      <c r="N128" s="74">
        <v>90</v>
      </c>
      <c r="O128" s="74">
        <v>4.0999999999999996</v>
      </c>
      <c r="P128" s="74">
        <v>7060</v>
      </c>
      <c r="Q128" s="74">
        <v>1E-4</v>
      </c>
      <c r="R128" s="74">
        <v>3532</v>
      </c>
      <c r="S128" s="74">
        <v>3.86</v>
      </c>
      <c r="T128" s="74">
        <v>27.63</v>
      </c>
      <c r="U128" s="74">
        <v>355</v>
      </c>
      <c r="V128" s="235">
        <v>0.94</v>
      </c>
      <c r="W128" s="74">
        <v>561</v>
      </c>
      <c r="X128" s="74">
        <v>4.2</v>
      </c>
      <c r="Y128" s="236">
        <v>76.13</v>
      </c>
      <c r="Z128" s="74">
        <v>59.88</v>
      </c>
      <c r="AA128" s="183">
        <v>465.52</v>
      </c>
      <c r="AB128" s="183">
        <v>22.48</v>
      </c>
      <c r="AC128" s="233">
        <v>0</v>
      </c>
      <c r="AD128" s="233">
        <v>2.9999999999999997E-4</v>
      </c>
      <c r="AE128" s="233">
        <v>1E-3</v>
      </c>
    </row>
    <row r="129" spans="1:31" x14ac:dyDescent="0.3">
      <c r="A129" s="225">
        <v>86</v>
      </c>
      <c r="B129" s="233" t="s">
        <v>1067</v>
      </c>
      <c r="C129" s="233"/>
      <c r="D129" s="234" t="s">
        <v>1066</v>
      </c>
      <c r="E129" s="74">
        <v>250</v>
      </c>
      <c r="F129" s="237">
        <f t="shared" si="3"/>
        <v>83.333333333333329</v>
      </c>
      <c r="G129" s="74">
        <v>20014</v>
      </c>
      <c r="H129" s="74">
        <v>3</v>
      </c>
      <c r="I129" s="74">
        <v>16.999393000000001</v>
      </c>
      <c r="J129" s="74">
        <v>74.313883000000004</v>
      </c>
      <c r="K129" s="224" t="s">
        <v>1062</v>
      </c>
      <c r="L129" s="233"/>
      <c r="M129" s="74">
        <v>6.75</v>
      </c>
      <c r="N129" s="74">
        <v>75</v>
      </c>
      <c r="O129" s="74">
        <v>3.97</v>
      </c>
      <c r="P129" s="74">
        <v>11.19</v>
      </c>
      <c r="Q129" s="74">
        <v>1E-4</v>
      </c>
      <c r="R129" s="74">
        <v>5597</v>
      </c>
      <c r="S129" s="74">
        <v>6.33</v>
      </c>
      <c r="T129" s="74">
        <v>57.55</v>
      </c>
      <c r="U129" s="74">
        <v>248</v>
      </c>
      <c r="V129" s="235">
        <v>0.42</v>
      </c>
      <c r="W129" s="74">
        <v>348</v>
      </c>
      <c r="X129" s="74">
        <v>5.0999999999999996</v>
      </c>
      <c r="Y129" s="236">
        <v>135.19999999999999</v>
      </c>
      <c r="Z129" s="74">
        <v>100.13</v>
      </c>
      <c r="AA129" s="183">
        <v>477.6</v>
      </c>
      <c r="AB129" s="183">
        <v>11.84</v>
      </c>
      <c r="AC129" s="233">
        <v>0</v>
      </c>
      <c r="AD129" s="233">
        <v>2.0000000000000001E-4</v>
      </c>
      <c r="AE129" s="233">
        <v>3.3999999999999998E-3</v>
      </c>
    </row>
    <row r="130" spans="1:31" ht="28.8" x14ac:dyDescent="0.3">
      <c r="A130" s="225">
        <v>87</v>
      </c>
      <c r="B130" s="233" t="s">
        <v>1068</v>
      </c>
      <c r="C130" s="233"/>
      <c r="D130" s="234" t="s">
        <v>1069</v>
      </c>
      <c r="E130" s="74">
        <v>130</v>
      </c>
      <c r="F130" s="238">
        <f t="shared" si="3"/>
        <v>43.333333333333336</v>
      </c>
      <c r="G130" s="74">
        <v>2006</v>
      </c>
      <c r="H130" s="74">
        <v>4</v>
      </c>
      <c r="I130" s="74">
        <v>17.001169999999998</v>
      </c>
      <c r="J130" s="74">
        <v>74.315252999999998</v>
      </c>
      <c r="K130" s="224" t="s">
        <v>1070</v>
      </c>
      <c r="L130" s="233"/>
      <c r="M130" s="74">
        <v>7.11</v>
      </c>
      <c r="N130" s="74">
        <v>88</v>
      </c>
      <c r="O130" s="74">
        <v>3.95</v>
      </c>
      <c r="P130" s="74">
        <v>9868</v>
      </c>
      <c r="Q130" s="74">
        <v>1E-4</v>
      </c>
      <c r="R130" s="74">
        <v>4933</v>
      </c>
      <c r="S130" s="74">
        <v>5.53</v>
      </c>
      <c r="T130" s="74">
        <v>27.52</v>
      </c>
      <c r="U130" s="74">
        <v>440</v>
      </c>
      <c r="V130" s="235">
        <v>1.08</v>
      </c>
      <c r="W130" s="74">
        <v>746</v>
      </c>
      <c r="X130" s="74">
        <v>6.6</v>
      </c>
      <c r="Y130" s="236">
        <v>126.86</v>
      </c>
      <c r="Z130" s="74">
        <v>106.42</v>
      </c>
      <c r="AA130" s="183">
        <v>455.68</v>
      </c>
      <c r="AB130" s="183">
        <v>8.84</v>
      </c>
      <c r="AC130" s="233">
        <v>0</v>
      </c>
      <c r="AD130" s="233">
        <v>2.9999999999999997E-4</v>
      </c>
      <c r="AE130" s="233">
        <v>1E-3</v>
      </c>
    </row>
    <row r="131" spans="1:31" x14ac:dyDescent="0.3">
      <c r="A131" s="225">
        <v>88</v>
      </c>
      <c r="B131" s="233" t="s">
        <v>1071</v>
      </c>
      <c r="C131" s="233"/>
      <c r="D131" s="234" t="s">
        <v>1072</v>
      </c>
      <c r="E131" s="74">
        <v>250</v>
      </c>
      <c r="F131" s="237">
        <f t="shared" si="3"/>
        <v>83.333333333333329</v>
      </c>
      <c r="G131" s="74">
        <v>2001</v>
      </c>
      <c r="H131" s="74">
        <v>6</v>
      </c>
      <c r="I131" s="74">
        <v>16.999507000000001</v>
      </c>
      <c r="J131" s="74">
        <v>74.316794999999999</v>
      </c>
      <c r="K131" s="224" t="s">
        <v>855</v>
      </c>
      <c r="L131" s="233"/>
      <c r="M131" s="74">
        <v>7.35</v>
      </c>
      <c r="N131" s="74">
        <v>82</v>
      </c>
      <c r="O131" s="74">
        <v>3.95</v>
      </c>
      <c r="P131" s="74">
        <v>8966</v>
      </c>
      <c r="Q131" s="74">
        <v>1E-3</v>
      </c>
      <c r="R131" s="74">
        <v>4481</v>
      </c>
      <c r="S131" s="74">
        <v>4.99</v>
      </c>
      <c r="T131" s="74">
        <v>27.6</v>
      </c>
      <c r="U131" s="74">
        <v>372</v>
      </c>
      <c r="V131" s="235">
        <v>0.59</v>
      </c>
      <c r="W131" s="74">
        <v>461</v>
      </c>
      <c r="X131" s="74">
        <v>7.4</v>
      </c>
      <c r="Y131" s="236">
        <v>65.2</v>
      </c>
      <c r="Z131" s="74">
        <v>94.06</v>
      </c>
      <c r="AA131" s="183">
        <v>227.74</v>
      </c>
      <c r="AB131" s="183">
        <v>27.52</v>
      </c>
      <c r="AC131" s="233">
        <v>144.26</v>
      </c>
      <c r="AD131" s="233">
        <v>2.0000000000000001E-4</v>
      </c>
      <c r="AE131" s="233">
        <v>8.8000000000000005E-3</v>
      </c>
    </row>
    <row r="132" spans="1:31" x14ac:dyDescent="0.3">
      <c r="A132" s="225">
        <v>89</v>
      </c>
      <c r="B132" s="233" t="s">
        <v>1073</v>
      </c>
      <c r="C132" s="233"/>
      <c r="D132" s="234" t="s">
        <v>1074</v>
      </c>
      <c r="E132" s="74">
        <v>130</v>
      </c>
      <c r="F132" s="238">
        <f t="shared" si="3"/>
        <v>43.333333333333336</v>
      </c>
      <c r="G132" s="74">
        <v>19098</v>
      </c>
      <c r="H132" s="74">
        <v>5</v>
      </c>
      <c r="I132" s="74">
        <v>16.99701</v>
      </c>
      <c r="J132" s="74">
        <v>74.316447999999994</v>
      </c>
      <c r="K132" s="224" t="s">
        <v>855</v>
      </c>
      <c r="L132" s="233"/>
      <c r="M132" s="74">
        <v>6.95</v>
      </c>
      <c r="N132" s="74">
        <v>96</v>
      </c>
      <c r="O132" s="74">
        <v>4.2</v>
      </c>
      <c r="P132" s="74">
        <v>8626</v>
      </c>
      <c r="Q132" s="74">
        <v>1E-4</v>
      </c>
      <c r="R132" s="74">
        <v>4314</v>
      </c>
      <c r="S132" s="74">
        <v>4.78</v>
      </c>
      <c r="T132" s="74">
        <v>27.61</v>
      </c>
      <c r="U132" s="74">
        <v>744</v>
      </c>
      <c r="V132" s="235">
        <v>1.67</v>
      </c>
      <c r="W132" s="74">
        <v>547</v>
      </c>
      <c r="X132" s="74">
        <v>5.9</v>
      </c>
      <c r="Y132" s="236">
        <v>96.5</v>
      </c>
      <c r="Z132" s="74">
        <v>45.45</v>
      </c>
      <c r="AA132" s="183">
        <v>411.32</v>
      </c>
      <c r="AB132" s="183">
        <v>0.44</v>
      </c>
      <c r="AC132" s="233">
        <v>332.68</v>
      </c>
      <c r="AD132" s="233">
        <v>5.0000000000000001E-4</v>
      </c>
      <c r="AE132" s="233">
        <v>8.0999999999999996E-3</v>
      </c>
    </row>
    <row r="133" spans="1:31" x14ac:dyDescent="0.3">
      <c r="A133" s="225">
        <v>90</v>
      </c>
      <c r="B133" s="233" t="s">
        <v>1075</v>
      </c>
      <c r="C133" s="233"/>
      <c r="D133" s="234" t="s">
        <v>1076</v>
      </c>
      <c r="E133" s="74">
        <v>250</v>
      </c>
      <c r="F133" s="237">
        <f t="shared" si="3"/>
        <v>83.333333333333329</v>
      </c>
      <c r="G133" s="74">
        <v>2006</v>
      </c>
      <c r="H133" s="74">
        <v>7</v>
      </c>
      <c r="I133" s="74">
        <v>16.997463</v>
      </c>
      <c r="J133" s="74">
        <v>74.315004999999999</v>
      </c>
      <c r="K133" s="224" t="s">
        <v>855</v>
      </c>
      <c r="L133" s="233"/>
      <c r="M133" s="74">
        <v>7.28</v>
      </c>
      <c r="N133" s="74">
        <v>85.4</v>
      </c>
      <c r="O133" s="74">
        <v>3.9</v>
      </c>
      <c r="P133" s="74">
        <v>9758</v>
      </c>
      <c r="Q133" s="74">
        <v>1E-4</v>
      </c>
      <c r="R133" s="74">
        <v>4882</v>
      </c>
      <c r="S133" s="74">
        <v>5.46</v>
      </c>
      <c r="T133" s="74">
        <v>27.62</v>
      </c>
      <c r="U133" s="74">
        <v>412</v>
      </c>
      <c r="V133" s="235">
        <v>0.68</v>
      </c>
      <c r="W133" s="74">
        <v>503</v>
      </c>
      <c r="X133" s="74">
        <v>8.1999999999999993</v>
      </c>
      <c r="Y133" s="236">
        <v>35.200000000000003</v>
      </c>
      <c r="Z133" s="74">
        <v>81.27</v>
      </c>
      <c r="AA133" s="74">
        <v>232.76</v>
      </c>
      <c r="AB133" s="74">
        <v>6.5</v>
      </c>
      <c r="AC133" s="233">
        <v>179.24</v>
      </c>
      <c r="AD133" s="74">
        <v>2.9999999999999997E-4</v>
      </c>
      <c r="AE133" s="74">
        <v>8.6999999999999994E-3</v>
      </c>
    </row>
    <row r="134" spans="1:31" x14ac:dyDescent="0.3">
      <c r="A134" s="225">
        <v>91</v>
      </c>
      <c r="B134" s="233" t="s">
        <v>1077</v>
      </c>
      <c r="C134" s="233"/>
      <c r="D134" s="234" t="s">
        <v>1078</v>
      </c>
      <c r="E134" s="74">
        <v>180</v>
      </c>
      <c r="F134" s="238">
        <f t="shared" si="3"/>
        <v>60</v>
      </c>
      <c r="G134" s="74">
        <v>2003</v>
      </c>
      <c r="H134" s="74">
        <v>3</v>
      </c>
      <c r="I134" s="74">
        <v>16.99614</v>
      </c>
      <c r="J134" s="74">
        <v>74.314070000000001</v>
      </c>
      <c r="K134" s="224" t="s">
        <v>855</v>
      </c>
      <c r="L134" s="233"/>
      <c r="M134" s="74">
        <v>7.54</v>
      </c>
      <c r="N134" s="74">
        <v>68</v>
      </c>
      <c r="O134" s="74">
        <v>4.2</v>
      </c>
      <c r="P134" s="74">
        <v>1351</v>
      </c>
      <c r="Q134" s="74">
        <v>6.9999999999999999E-4</v>
      </c>
      <c r="R134" s="74">
        <v>675</v>
      </c>
      <c r="S134" s="74">
        <v>0.67</v>
      </c>
      <c r="T134" s="74">
        <v>27.61</v>
      </c>
      <c r="U134" s="74">
        <v>392</v>
      </c>
      <c r="V134" s="235">
        <v>0.45</v>
      </c>
      <c r="W134" s="74">
        <v>429</v>
      </c>
      <c r="X134" s="74">
        <v>10.3</v>
      </c>
      <c r="Y134" s="236">
        <v>167.2</v>
      </c>
      <c r="Z134" s="74">
        <v>0</v>
      </c>
      <c r="AA134" s="74">
        <v>113.87</v>
      </c>
      <c r="AB134" s="74">
        <v>0.05</v>
      </c>
      <c r="AC134" s="233">
        <v>278.13</v>
      </c>
      <c r="AD134" s="74">
        <v>2.9999999999999997E-4</v>
      </c>
      <c r="AE134" s="74">
        <v>2.3999999999999998E-3</v>
      </c>
    </row>
    <row r="135" spans="1:31" ht="43.2" x14ac:dyDescent="0.3">
      <c r="A135" s="225">
        <v>92</v>
      </c>
      <c r="B135" s="233" t="s">
        <v>1079</v>
      </c>
      <c r="C135" s="233"/>
      <c r="D135" s="234" t="s">
        <v>1080</v>
      </c>
      <c r="E135" s="74">
        <v>370</v>
      </c>
      <c r="F135" s="237">
        <f t="shared" si="3"/>
        <v>123.33333333333333</v>
      </c>
      <c r="G135" s="74">
        <v>1999</v>
      </c>
      <c r="H135" s="74">
        <v>2</v>
      </c>
      <c r="I135" s="74">
        <v>16.994980000000002</v>
      </c>
      <c r="J135" s="74">
        <v>74.318714999999997</v>
      </c>
      <c r="K135" s="224" t="s">
        <v>1081</v>
      </c>
      <c r="L135" s="233"/>
      <c r="M135" s="74">
        <v>7.44</v>
      </c>
      <c r="N135" s="74">
        <v>79</v>
      </c>
      <c r="O135" s="74">
        <v>3.9</v>
      </c>
      <c r="P135" s="74">
        <v>5275</v>
      </c>
      <c r="Q135" s="74">
        <v>2.0000000000000001E-4</v>
      </c>
      <c r="R135" s="74">
        <v>2638</v>
      </c>
      <c r="S135" s="74">
        <v>2.83</v>
      </c>
      <c r="T135" s="74">
        <v>27.66</v>
      </c>
      <c r="U135" s="74">
        <v>368</v>
      </c>
      <c r="V135" s="235">
        <v>0.36</v>
      </c>
      <c r="W135" s="74">
        <v>384</v>
      </c>
      <c r="X135" s="74">
        <v>16.399999999999999</v>
      </c>
      <c r="Y135" s="236">
        <v>85.2</v>
      </c>
      <c r="Z135" s="74">
        <v>54.37</v>
      </c>
      <c r="AA135" s="74">
        <v>270.12</v>
      </c>
      <c r="AB135" s="183">
        <v>6.88</v>
      </c>
      <c r="AC135" s="233">
        <v>97.88</v>
      </c>
      <c r="AD135" s="233">
        <v>2.9999999999999997E-4</v>
      </c>
      <c r="AE135" s="233">
        <v>9.7000000000000003E-3</v>
      </c>
    </row>
    <row r="136" spans="1:31" ht="43.2" x14ac:dyDescent="0.3">
      <c r="A136" s="225">
        <v>93</v>
      </c>
      <c r="B136" s="233" t="s">
        <v>1082</v>
      </c>
      <c r="C136" s="233"/>
      <c r="D136" s="234" t="s">
        <v>1083</v>
      </c>
      <c r="E136" s="74">
        <v>130</v>
      </c>
      <c r="F136" s="238">
        <f t="shared" si="3"/>
        <v>43.333333333333336</v>
      </c>
      <c r="G136" s="74">
        <v>2002</v>
      </c>
      <c r="H136" s="74">
        <v>9</v>
      </c>
      <c r="I136" s="74">
        <v>16.975961999999999</v>
      </c>
      <c r="J136" s="74">
        <v>74.326217999999997</v>
      </c>
      <c r="K136" s="224" t="s">
        <v>1084</v>
      </c>
      <c r="L136" s="233"/>
      <c r="M136" s="74">
        <v>7.56</v>
      </c>
      <c r="N136" s="74">
        <v>78</v>
      </c>
      <c r="O136" s="74">
        <v>3.96</v>
      </c>
      <c r="P136" s="74">
        <v>1646</v>
      </c>
      <c r="Q136" s="74">
        <v>5.9999999999999995E-4</v>
      </c>
      <c r="R136" s="74">
        <v>823</v>
      </c>
      <c r="S136" s="74">
        <v>0.83</v>
      </c>
      <c r="T136" s="74">
        <v>27.57</v>
      </c>
      <c r="U136" s="74">
        <v>250</v>
      </c>
      <c r="V136" s="235">
        <v>1.27</v>
      </c>
      <c r="W136" s="74">
        <v>367</v>
      </c>
      <c r="X136" s="74">
        <v>18.899999999999999</v>
      </c>
      <c r="Y136" s="236">
        <v>56.7</v>
      </c>
      <c r="Z136" s="74">
        <v>0</v>
      </c>
      <c r="AA136" s="74">
        <v>117.14</v>
      </c>
      <c r="AB136" s="74">
        <v>3.44</v>
      </c>
      <c r="AC136" s="233">
        <v>132.66</v>
      </c>
      <c r="AD136" s="74">
        <v>2.0000000000000001E-4</v>
      </c>
      <c r="AE136" s="74">
        <v>6.3E-3</v>
      </c>
    </row>
    <row r="137" spans="1:31" ht="28.8" x14ac:dyDescent="0.3">
      <c r="A137" s="225">
        <v>94</v>
      </c>
      <c r="B137" s="233" t="s">
        <v>1085</v>
      </c>
      <c r="C137" s="233"/>
      <c r="D137" s="234" t="s">
        <v>1086</v>
      </c>
      <c r="E137" s="74">
        <v>350</v>
      </c>
      <c r="F137" s="237">
        <f t="shared" si="3"/>
        <v>116.66666666666667</v>
      </c>
      <c r="G137" s="74">
        <v>2000</v>
      </c>
      <c r="H137" s="74">
        <v>25</v>
      </c>
      <c r="I137" s="74">
        <v>16.963398000000002</v>
      </c>
      <c r="J137" s="74">
        <v>74.329251999999997</v>
      </c>
      <c r="K137" s="224" t="s">
        <v>1087</v>
      </c>
      <c r="L137" s="233"/>
      <c r="M137" s="74">
        <v>7.41</v>
      </c>
      <c r="N137" s="74">
        <v>87.5</v>
      </c>
      <c r="O137" s="74">
        <v>3.99</v>
      </c>
      <c r="P137" s="74">
        <v>1437</v>
      </c>
      <c r="Q137" s="74">
        <v>6.9999999999999999E-4</v>
      </c>
      <c r="R137" s="74">
        <v>719</v>
      </c>
      <c r="S137" s="74">
        <v>0.72</v>
      </c>
      <c r="T137" s="74">
        <v>27.59</v>
      </c>
      <c r="U137" s="74">
        <v>544</v>
      </c>
      <c r="V137" s="235">
        <v>0.96</v>
      </c>
      <c r="W137" s="74">
        <v>406</v>
      </c>
      <c r="X137" s="74">
        <v>15.6</v>
      </c>
      <c r="Y137" s="236">
        <v>45.8</v>
      </c>
      <c r="Z137" s="74">
        <v>0</v>
      </c>
      <c r="AA137" s="74">
        <v>116.38</v>
      </c>
      <c r="AB137" s="74">
        <v>3.25</v>
      </c>
      <c r="AC137" s="233">
        <v>427.62</v>
      </c>
      <c r="AD137" s="74">
        <v>1E-4</v>
      </c>
      <c r="AE137" s="74">
        <v>1.01E-2</v>
      </c>
    </row>
    <row r="138" spans="1:31" ht="28.8" x14ac:dyDescent="0.3">
      <c r="A138" s="225">
        <v>95</v>
      </c>
      <c r="B138" s="233" t="s">
        <v>1088</v>
      </c>
      <c r="C138" s="233"/>
      <c r="D138" s="234" t="s">
        <v>1089</v>
      </c>
      <c r="E138" s="74">
        <v>350</v>
      </c>
      <c r="F138" s="237">
        <f t="shared" si="3"/>
        <v>116.66666666666667</v>
      </c>
      <c r="G138" s="74">
        <v>2008</v>
      </c>
      <c r="H138" s="74">
        <v>4</v>
      </c>
      <c r="I138" s="74">
        <v>16.962845000000002</v>
      </c>
      <c r="J138" s="74">
        <v>74.331677999999997</v>
      </c>
      <c r="K138" s="224" t="s">
        <v>1087</v>
      </c>
      <c r="L138" s="233"/>
      <c r="M138" s="74">
        <v>7.11</v>
      </c>
      <c r="N138" s="74">
        <v>94</v>
      </c>
      <c r="O138" s="74">
        <v>3.8</v>
      </c>
      <c r="P138" s="74">
        <v>1274</v>
      </c>
      <c r="Q138" s="74">
        <v>8.0000000000000004E-4</v>
      </c>
      <c r="R138" s="74">
        <v>637</v>
      </c>
      <c r="S138" s="74">
        <v>0.63</v>
      </c>
      <c r="T138" s="74">
        <v>27.58</v>
      </c>
      <c r="U138" s="74">
        <v>377</v>
      </c>
      <c r="V138" s="235">
        <v>1.78</v>
      </c>
      <c r="W138" s="74">
        <v>552</v>
      </c>
      <c r="X138" s="74">
        <v>13.74</v>
      </c>
      <c r="Y138" s="236">
        <v>198.1</v>
      </c>
      <c r="Z138" s="74">
        <v>0</v>
      </c>
      <c r="AA138" s="74">
        <v>119.4</v>
      </c>
      <c r="AB138" s="74">
        <v>2.81</v>
      </c>
      <c r="AC138" s="233">
        <v>257.60000000000002</v>
      </c>
      <c r="AD138" s="74">
        <v>1E-4</v>
      </c>
      <c r="AE138" s="74">
        <v>3.5999999999999999E-3</v>
      </c>
    </row>
    <row r="139" spans="1:31" ht="28.8" x14ac:dyDescent="0.3">
      <c r="A139" s="225">
        <v>96</v>
      </c>
      <c r="B139" s="233" t="s">
        <v>1090</v>
      </c>
      <c r="C139" s="233"/>
      <c r="D139" s="234" t="s">
        <v>1091</v>
      </c>
      <c r="E139" s="74">
        <v>350</v>
      </c>
      <c r="F139" s="237">
        <f t="shared" si="3"/>
        <v>116.66666666666667</v>
      </c>
      <c r="G139" s="74">
        <v>2004</v>
      </c>
      <c r="H139" s="74">
        <v>6</v>
      </c>
      <c r="I139" s="74">
        <v>16.962253</v>
      </c>
      <c r="J139" s="74">
        <v>74.331968000000003</v>
      </c>
      <c r="K139" s="224" t="s">
        <v>1087</v>
      </c>
      <c r="L139" s="233"/>
      <c r="M139" s="74">
        <v>7.22</v>
      </c>
      <c r="N139" s="74">
        <v>93.7</v>
      </c>
      <c r="O139" s="74">
        <v>3.9</v>
      </c>
      <c r="P139" s="74">
        <v>1305</v>
      </c>
      <c r="Q139" s="74">
        <v>8.0000000000000004E-4</v>
      </c>
      <c r="R139" s="74">
        <v>653</v>
      </c>
      <c r="S139" s="74">
        <v>0.65</v>
      </c>
      <c r="T139" s="74">
        <v>27.65</v>
      </c>
      <c r="U139" s="74">
        <v>415</v>
      </c>
      <c r="V139" s="235">
        <v>0.76</v>
      </c>
      <c r="W139" s="74">
        <v>394</v>
      </c>
      <c r="X139" s="74">
        <v>10.199999999999999</v>
      </c>
      <c r="Y139" s="236">
        <v>55.8</v>
      </c>
      <c r="Z139" s="74">
        <v>5.54</v>
      </c>
      <c r="AA139" s="74">
        <v>135.06</v>
      </c>
      <c r="AB139" s="74">
        <v>1.48</v>
      </c>
      <c r="AC139" s="233">
        <v>278.94</v>
      </c>
      <c r="AD139" s="74">
        <v>1E-4</v>
      </c>
      <c r="AE139" s="74">
        <v>4.1000000000000003E-3</v>
      </c>
    </row>
    <row r="140" spans="1:31" ht="28.8" x14ac:dyDescent="0.3">
      <c r="A140" s="225">
        <v>97</v>
      </c>
      <c r="B140" s="233" t="s">
        <v>1092</v>
      </c>
      <c r="C140" s="233"/>
      <c r="D140" s="234" t="s">
        <v>1093</v>
      </c>
      <c r="E140" s="74">
        <v>250</v>
      </c>
      <c r="F140" s="237">
        <f t="shared" si="3"/>
        <v>83.333333333333329</v>
      </c>
      <c r="G140" s="74">
        <v>2003</v>
      </c>
      <c r="H140" s="74">
        <v>5</v>
      </c>
      <c r="I140" s="74">
        <v>16.962368000000001</v>
      </c>
      <c r="J140" s="74">
        <v>74.331964999999997</v>
      </c>
      <c r="K140" s="224" t="s">
        <v>1087</v>
      </c>
      <c r="L140" s="233"/>
      <c r="M140" s="74">
        <v>7.24</v>
      </c>
      <c r="N140" s="74">
        <v>88.1</v>
      </c>
      <c r="O140" s="74">
        <v>3.97</v>
      </c>
      <c r="P140" s="74">
        <v>1223</v>
      </c>
      <c r="Q140" s="74">
        <v>8.0000000000000004E-4</v>
      </c>
      <c r="R140" s="74">
        <v>612</v>
      </c>
      <c r="S140" s="74">
        <v>0.6</v>
      </c>
      <c r="T140" s="74">
        <v>27.63</v>
      </c>
      <c r="U140" s="74">
        <v>526</v>
      </c>
      <c r="V140" s="235">
        <v>0.35</v>
      </c>
      <c r="W140" s="74">
        <v>618</v>
      </c>
      <c r="X140" s="74">
        <v>8.9</v>
      </c>
      <c r="Y140" s="236">
        <v>78.400000000000006</v>
      </c>
      <c r="Z140" s="74">
        <v>0</v>
      </c>
      <c r="AA140" s="74">
        <v>97.06</v>
      </c>
      <c r="AB140" s="74">
        <v>0.92</v>
      </c>
      <c r="AC140" s="233">
        <v>428.94</v>
      </c>
      <c r="AD140" s="74">
        <v>2.0000000000000001E-4</v>
      </c>
      <c r="AE140" s="74">
        <v>6.1999999999999998E-3</v>
      </c>
    </row>
    <row r="141" spans="1:31" ht="28.8" x14ac:dyDescent="0.3">
      <c r="A141" s="225">
        <v>98</v>
      </c>
      <c r="B141" s="233" t="s">
        <v>1094</v>
      </c>
      <c r="C141" s="233"/>
      <c r="D141" s="234" t="s">
        <v>1095</v>
      </c>
      <c r="E141" s="74">
        <v>250</v>
      </c>
      <c r="F141" s="237">
        <f t="shared" si="3"/>
        <v>83.333333333333329</v>
      </c>
      <c r="G141" s="74">
        <v>2009</v>
      </c>
      <c r="H141" s="74">
        <v>7</v>
      </c>
      <c r="I141" s="74">
        <v>16.958587999999999</v>
      </c>
      <c r="J141" s="74">
        <v>74.331395000000001</v>
      </c>
      <c r="K141" s="224" t="s">
        <v>1087</v>
      </c>
      <c r="L141" s="233"/>
      <c r="M141" s="74">
        <v>7.1</v>
      </c>
      <c r="N141" s="74">
        <v>94.7</v>
      </c>
      <c r="O141" s="74">
        <v>3.96</v>
      </c>
      <c r="P141" s="74">
        <v>1120</v>
      </c>
      <c r="Q141" s="74">
        <v>8.9999999999999998E-4</v>
      </c>
      <c r="R141" s="74">
        <v>560</v>
      </c>
      <c r="S141" s="74">
        <v>0.55000000000000004</v>
      </c>
      <c r="T141" s="74">
        <v>27.86</v>
      </c>
      <c r="U141" s="74">
        <v>348</v>
      </c>
      <c r="V141" s="235">
        <v>0.88</v>
      </c>
      <c r="W141" s="74">
        <v>332</v>
      </c>
      <c r="X141" s="74">
        <v>7.6</v>
      </c>
      <c r="Y141" s="236">
        <v>98.2</v>
      </c>
      <c r="Z141" s="74">
        <v>0</v>
      </c>
      <c r="AA141" s="74">
        <v>73.86</v>
      </c>
      <c r="AB141" s="74">
        <v>2.21</v>
      </c>
      <c r="AC141" s="233">
        <v>274.14</v>
      </c>
      <c r="AD141" s="74">
        <v>2.0000000000000001E-4</v>
      </c>
      <c r="AE141" s="74">
        <v>8.2000000000000007E-3</v>
      </c>
    </row>
    <row r="142" spans="1:31" ht="28.8" x14ac:dyDescent="0.3">
      <c r="A142" s="225">
        <v>99</v>
      </c>
      <c r="B142" s="233" t="s">
        <v>1096</v>
      </c>
      <c r="C142" s="233"/>
      <c r="D142" s="234" t="s">
        <v>1097</v>
      </c>
      <c r="E142" s="74">
        <v>250</v>
      </c>
      <c r="F142" s="237">
        <f t="shared" si="3"/>
        <v>83.333333333333329</v>
      </c>
      <c r="G142" s="74">
        <v>2003</v>
      </c>
      <c r="H142" s="74">
        <v>3</v>
      </c>
      <c r="I142" s="74">
        <v>16.958314999999999</v>
      </c>
      <c r="J142" s="74">
        <v>74.330538000000004</v>
      </c>
      <c r="K142" s="224" t="s">
        <v>1087</v>
      </c>
      <c r="L142" s="233"/>
      <c r="M142" s="74">
        <v>7.29</v>
      </c>
      <c r="N142" s="74">
        <v>89.6</v>
      </c>
      <c r="O142" s="74">
        <v>4.45</v>
      </c>
      <c r="P142" s="74">
        <v>1024</v>
      </c>
      <c r="Q142" s="74">
        <v>1E-3</v>
      </c>
      <c r="R142" s="74">
        <v>512</v>
      </c>
      <c r="S142" s="74">
        <v>0.5</v>
      </c>
      <c r="T142" s="74">
        <v>27.85</v>
      </c>
      <c r="U142" s="74">
        <v>372</v>
      </c>
      <c r="V142" s="235">
        <v>0.75</v>
      </c>
      <c r="W142" s="74">
        <v>467</v>
      </c>
      <c r="X142" s="74">
        <v>4.0999999999999996</v>
      </c>
      <c r="Y142" s="236">
        <v>104.2</v>
      </c>
      <c r="Z142" s="74">
        <v>0</v>
      </c>
      <c r="AA142" s="74">
        <v>52.13</v>
      </c>
      <c r="AB142" s="74">
        <v>0.49</v>
      </c>
      <c r="AC142" s="233">
        <v>319.87</v>
      </c>
      <c r="AD142" s="74">
        <v>2.9999999999999997E-4</v>
      </c>
      <c r="AE142" s="74">
        <v>2.3999999999999998E-3</v>
      </c>
    </row>
    <row r="143" spans="1:31" ht="28.8" x14ac:dyDescent="0.3">
      <c r="A143" s="225">
        <v>100</v>
      </c>
      <c r="B143" s="233" t="s">
        <v>1098</v>
      </c>
      <c r="C143" s="233"/>
      <c r="D143" s="234" t="s">
        <v>1099</v>
      </c>
      <c r="E143" s="74">
        <v>250</v>
      </c>
      <c r="F143" s="237">
        <f t="shared" si="3"/>
        <v>83.333333333333329</v>
      </c>
      <c r="G143" s="74">
        <v>2010</v>
      </c>
      <c r="H143" s="74">
        <v>4</v>
      </c>
      <c r="I143" s="74">
        <v>16.958179999999999</v>
      </c>
      <c r="J143" s="74">
        <v>74.330517999999998</v>
      </c>
      <c r="K143" s="224" t="s">
        <v>1087</v>
      </c>
      <c r="L143" s="233"/>
      <c r="M143" s="74">
        <v>7.45</v>
      </c>
      <c r="N143" s="74">
        <v>75.7</v>
      </c>
      <c r="O143" s="74">
        <v>3.62</v>
      </c>
      <c r="P143" s="74">
        <v>1354</v>
      </c>
      <c r="Q143" s="74">
        <v>6.9999999999999999E-4</v>
      </c>
      <c r="R143" s="74">
        <v>677</v>
      </c>
      <c r="S143" s="74">
        <v>0.67</v>
      </c>
      <c r="T143" s="74">
        <v>27.76</v>
      </c>
      <c r="U143" s="74">
        <v>780</v>
      </c>
      <c r="V143" s="235">
        <v>1.33</v>
      </c>
      <c r="W143" s="74">
        <v>284</v>
      </c>
      <c r="X143" s="74">
        <v>6.7</v>
      </c>
      <c r="Y143" s="236">
        <v>187.3</v>
      </c>
      <c r="Z143" s="74">
        <v>0</v>
      </c>
      <c r="AA143" s="74">
        <v>59.43</v>
      </c>
      <c r="AB143" s="74">
        <v>0.74</v>
      </c>
      <c r="AC143" s="233">
        <v>720.57</v>
      </c>
      <c r="AD143" s="74">
        <v>4.0000000000000002E-4</v>
      </c>
      <c r="AE143" s="74">
        <v>4.4000000000000003E-3</v>
      </c>
    </row>
    <row r="144" spans="1:31" x14ac:dyDescent="0.3">
      <c r="A144" s="225">
        <v>101</v>
      </c>
      <c r="B144" s="233" t="s">
        <v>1100</v>
      </c>
      <c r="C144" s="233"/>
      <c r="D144" s="234" t="s">
        <v>1101</v>
      </c>
      <c r="E144" s="74">
        <v>250</v>
      </c>
      <c r="F144" s="237">
        <f t="shared" si="3"/>
        <v>83.333333333333329</v>
      </c>
      <c r="G144" s="74">
        <v>2015</v>
      </c>
      <c r="H144" s="74">
        <v>6</v>
      </c>
      <c r="I144" s="74">
        <v>16.961352999999999</v>
      </c>
      <c r="J144" s="74">
        <v>74.332099999999997</v>
      </c>
      <c r="K144" s="224" t="s">
        <v>855</v>
      </c>
      <c r="L144" s="233"/>
      <c r="M144" s="74">
        <v>7.22</v>
      </c>
      <c r="N144" s="74">
        <v>92.5</v>
      </c>
      <c r="O144" s="74">
        <v>4</v>
      </c>
      <c r="P144" s="74">
        <v>9109</v>
      </c>
      <c r="Q144" s="74">
        <v>1E-4</v>
      </c>
      <c r="R144" s="74">
        <v>4555</v>
      </c>
      <c r="S144" s="74">
        <v>5.07</v>
      </c>
      <c r="T144" s="74">
        <v>27.57</v>
      </c>
      <c r="U144" s="74">
        <v>255</v>
      </c>
      <c r="V144" s="235">
        <v>1.46</v>
      </c>
      <c r="W144" s="74">
        <v>618</v>
      </c>
      <c r="X144" s="74">
        <v>11.4</v>
      </c>
      <c r="Y144" s="236">
        <v>117.4</v>
      </c>
      <c r="Z144" s="74">
        <v>101.5</v>
      </c>
      <c r="AA144" s="74">
        <v>307.60000000000002</v>
      </c>
      <c r="AB144" s="74">
        <v>0.8</v>
      </c>
      <c r="AC144" s="233">
        <v>0</v>
      </c>
      <c r="AD144" s="74">
        <v>2.0000000000000001E-4</v>
      </c>
      <c r="AE144" s="74">
        <v>8.2000000000000007E-3</v>
      </c>
    </row>
    <row r="145" spans="1:31" x14ac:dyDescent="0.3">
      <c r="A145" s="225">
        <v>102</v>
      </c>
      <c r="B145" s="233" t="s">
        <v>893</v>
      </c>
      <c r="C145" s="233"/>
      <c r="D145" s="234" t="s">
        <v>894</v>
      </c>
      <c r="E145" s="74">
        <v>250</v>
      </c>
      <c r="F145" s="237">
        <f t="shared" si="3"/>
        <v>83.333333333333329</v>
      </c>
      <c r="G145" s="74">
        <v>2004</v>
      </c>
      <c r="H145" s="74">
        <v>4</v>
      </c>
      <c r="I145" s="74">
        <v>17.072600999999999</v>
      </c>
      <c r="J145" s="74">
        <v>74.244816</v>
      </c>
      <c r="K145" s="224" t="s">
        <v>855</v>
      </c>
      <c r="L145" s="233"/>
      <c r="M145" s="74">
        <v>7.43</v>
      </c>
      <c r="N145" s="74">
        <v>77.7</v>
      </c>
      <c r="O145" s="74">
        <v>3.88</v>
      </c>
      <c r="P145" s="74">
        <v>741</v>
      </c>
      <c r="Q145" s="74">
        <v>1.4E-3</v>
      </c>
      <c r="R145" s="74">
        <v>371</v>
      </c>
      <c r="S145" s="74">
        <v>0.36</v>
      </c>
      <c r="T145" s="74">
        <v>27.62</v>
      </c>
      <c r="U145" s="74">
        <v>340</v>
      </c>
      <c r="V145" s="235">
        <v>0.54</v>
      </c>
      <c r="W145" s="74">
        <v>723</v>
      </c>
      <c r="X145" s="74">
        <v>19.399999999999999</v>
      </c>
      <c r="Y145" s="236">
        <v>96.8</v>
      </c>
      <c r="Z145" s="74">
        <v>0</v>
      </c>
      <c r="AA145" s="74">
        <v>22.27</v>
      </c>
      <c r="AB145" s="74">
        <v>1.64</v>
      </c>
      <c r="AC145" s="233">
        <v>317.73</v>
      </c>
      <c r="AD145" s="74">
        <v>2.9999999999999997E-4</v>
      </c>
      <c r="AE145" s="74">
        <v>8.8999999999999999E-3</v>
      </c>
    </row>
    <row r="146" spans="1:31" x14ac:dyDescent="0.3">
      <c r="A146" s="225">
        <v>103</v>
      </c>
      <c r="B146" s="233" t="s">
        <v>1102</v>
      </c>
      <c r="C146" s="233"/>
      <c r="D146" s="234" t="s">
        <v>1103</v>
      </c>
      <c r="E146" s="74">
        <v>250</v>
      </c>
      <c r="F146" s="237">
        <f t="shared" si="3"/>
        <v>83.333333333333329</v>
      </c>
      <c r="G146" s="74">
        <v>2016</v>
      </c>
      <c r="H146" s="74">
        <v>7</v>
      </c>
      <c r="I146" s="74">
        <v>17.089181</v>
      </c>
      <c r="J146" s="74">
        <v>74.227357999999995</v>
      </c>
      <c r="K146" s="224" t="s">
        <v>855</v>
      </c>
      <c r="L146" s="233"/>
      <c r="M146" s="74">
        <v>7.52</v>
      </c>
      <c r="N146" s="74">
        <v>78.099999999999994</v>
      </c>
      <c r="O146" s="74">
        <v>4</v>
      </c>
      <c r="P146" s="74">
        <v>825</v>
      </c>
      <c r="Q146" s="74">
        <v>1.1999999999999999E-3</v>
      </c>
      <c r="R146" s="74">
        <v>413</v>
      </c>
      <c r="S146" s="74">
        <v>0.4</v>
      </c>
      <c r="T146" s="74">
        <v>27.82</v>
      </c>
      <c r="U146" s="74">
        <v>540</v>
      </c>
      <c r="V146" s="235">
        <v>0.17</v>
      </c>
      <c r="W146" s="74">
        <v>346</v>
      </c>
      <c r="X146" s="74">
        <v>20.7</v>
      </c>
      <c r="Y146" s="236">
        <v>58.13</v>
      </c>
      <c r="Z146" s="74">
        <v>0</v>
      </c>
      <c r="AA146" s="74">
        <v>80.06</v>
      </c>
      <c r="AB146" s="74">
        <v>5.72</v>
      </c>
      <c r="AC146" s="233">
        <v>459.94</v>
      </c>
      <c r="AD146" s="74">
        <v>2.0000000000000001E-4</v>
      </c>
      <c r="AE146" s="74">
        <v>5.7000000000000002E-3</v>
      </c>
    </row>
    <row r="147" spans="1:31" x14ac:dyDescent="0.3">
      <c r="A147" s="225">
        <v>104</v>
      </c>
      <c r="B147" s="233" t="s">
        <v>1104</v>
      </c>
      <c r="C147" s="233"/>
      <c r="D147" s="234" t="s">
        <v>1105</v>
      </c>
      <c r="E147" s="74">
        <v>250</v>
      </c>
      <c r="F147" s="237">
        <f t="shared" si="3"/>
        <v>83.333333333333329</v>
      </c>
      <c r="G147" s="74">
        <v>2007</v>
      </c>
      <c r="H147" s="74">
        <v>3</v>
      </c>
      <c r="I147" s="74">
        <v>17.100083999999999</v>
      </c>
      <c r="J147" s="74">
        <v>74.209446999999997</v>
      </c>
      <c r="K147" s="224" t="s">
        <v>855</v>
      </c>
      <c r="L147" s="233"/>
      <c r="M147" s="74">
        <v>7.31</v>
      </c>
      <c r="N147" s="74">
        <v>86.7</v>
      </c>
      <c r="O147" s="74">
        <v>4.0199999999999996</v>
      </c>
      <c r="P147" s="74">
        <v>1818</v>
      </c>
      <c r="Q147" s="74">
        <v>5.9999999999999995E-4</v>
      </c>
      <c r="R147" s="74">
        <v>909</v>
      </c>
      <c r="S147" s="74">
        <v>0.92</v>
      </c>
      <c r="T147" s="74">
        <v>27.67</v>
      </c>
      <c r="U147" s="74">
        <v>420</v>
      </c>
      <c r="V147" s="235">
        <v>0.21</v>
      </c>
      <c r="W147" s="74">
        <v>440</v>
      </c>
      <c r="X147" s="74">
        <v>16.399999999999999</v>
      </c>
      <c r="Y147" s="236">
        <v>95.2</v>
      </c>
      <c r="Z147" s="74">
        <v>0</v>
      </c>
      <c r="AA147" s="74">
        <v>21.69</v>
      </c>
      <c r="AB147" s="74">
        <v>33.89</v>
      </c>
      <c r="AC147" s="233">
        <v>398.31</v>
      </c>
      <c r="AD147" s="74">
        <v>1E-4</v>
      </c>
      <c r="AE147" s="74">
        <v>1.29E-2</v>
      </c>
    </row>
    <row r="148" spans="1:31" x14ac:dyDescent="0.3">
      <c r="A148" s="225">
        <v>105</v>
      </c>
      <c r="B148" s="233" t="s">
        <v>1106</v>
      </c>
      <c r="C148" s="233"/>
      <c r="D148" s="234" t="s">
        <v>1107</v>
      </c>
      <c r="E148" s="74">
        <v>250</v>
      </c>
      <c r="F148" s="237">
        <f t="shared" si="3"/>
        <v>83.333333333333329</v>
      </c>
      <c r="G148" s="74">
        <v>2020</v>
      </c>
      <c r="H148" s="74">
        <v>2</v>
      </c>
      <c r="I148" s="74">
        <v>17.097635</v>
      </c>
      <c r="J148" s="74">
        <v>74.211890999999994</v>
      </c>
      <c r="K148" s="224" t="s">
        <v>855</v>
      </c>
      <c r="L148" s="233"/>
      <c r="M148" s="74">
        <v>7.3</v>
      </c>
      <c r="N148" s="74">
        <v>85.8</v>
      </c>
      <c r="O148" s="74">
        <v>3.6</v>
      </c>
      <c r="P148" s="74">
        <v>1059</v>
      </c>
      <c r="Q148" s="74">
        <v>8.9999999999999998E-4</v>
      </c>
      <c r="R148" s="74">
        <v>530</v>
      </c>
      <c r="S148" s="74">
        <v>0.52</v>
      </c>
      <c r="T148" s="74">
        <v>27.83</v>
      </c>
      <c r="U148" s="74">
        <v>380</v>
      </c>
      <c r="V148" s="235">
        <v>0.12</v>
      </c>
      <c r="W148" s="74">
        <v>276</v>
      </c>
      <c r="X148" s="74">
        <v>11.3</v>
      </c>
      <c r="Y148" s="236">
        <v>87.3</v>
      </c>
      <c r="Z148" s="74">
        <v>0</v>
      </c>
      <c r="AA148" s="74">
        <v>63.83</v>
      </c>
      <c r="AB148" s="74">
        <v>0.03</v>
      </c>
      <c r="AC148" s="233">
        <v>316.17</v>
      </c>
      <c r="AD148" s="74">
        <v>2.0000000000000001E-4</v>
      </c>
      <c r="AE148" s="74">
        <v>4.7000000000000002E-3</v>
      </c>
    </row>
    <row r="149" spans="1:31" x14ac:dyDescent="0.3">
      <c r="A149" s="225">
        <v>106</v>
      </c>
      <c r="B149" s="233" t="s">
        <v>1108</v>
      </c>
      <c r="C149" s="233"/>
      <c r="D149" s="234" t="s">
        <v>1109</v>
      </c>
      <c r="E149" s="74">
        <v>100</v>
      </c>
      <c r="F149" s="238">
        <f t="shared" si="3"/>
        <v>33.333333333333336</v>
      </c>
      <c r="G149" s="74">
        <v>2003</v>
      </c>
      <c r="H149" s="74">
        <v>7</v>
      </c>
      <c r="I149" s="74">
        <v>17.054396000000001</v>
      </c>
      <c r="J149" s="74">
        <v>74.239664000000005</v>
      </c>
      <c r="K149" s="224" t="s">
        <v>855</v>
      </c>
      <c r="L149" s="233"/>
      <c r="M149" s="74">
        <v>7.56</v>
      </c>
      <c r="N149" s="74">
        <v>78.5</v>
      </c>
      <c r="O149" s="74">
        <v>3.67</v>
      </c>
      <c r="P149" s="74">
        <v>1055</v>
      </c>
      <c r="Q149" s="74">
        <v>8.9999999999999998E-4</v>
      </c>
      <c r="R149" s="74">
        <v>527</v>
      </c>
      <c r="S149" s="74">
        <v>0.52</v>
      </c>
      <c r="T149" s="74">
        <v>27.8</v>
      </c>
      <c r="U149" s="74">
        <v>320</v>
      </c>
      <c r="V149" s="235">
        <v>1.0900000000000001</v>
      </c>
      <c r="W149" s="74">
        <v>1679</v>
      </c>
      <c r="X149" s="74">
        <v>10.7</v>
      </c>
      <c r="Y149" s="236">
        <v>81.5</v>
      </c>
      <c r="Z149" s="74">
        <v>0</v>
      </c>
      <c r="AA149" s="74">
        <v>30.91</v>
      </c>
      <c r="AB149" s="74">
        <v>0.03</v>
      </c>
      <c r="AC149" s="233">
        <v>289.08999999999997</v>
      </c>
      <c r="AD149" s="74">
        <v>1E-4</v>
      </c>
      <c r="AE149" s="74">
        <v>1.01E-2</v>
      </c>
    </row>
    <row r="150" spans="1:31" x14ac:dyDescent="0.3">
      <c r="A150" s="225">
        <v>107</v>
      </c>
      <c r="B150" s="233" t="s">
        <v>1110</v>
      </c>
      <c r="C150" s="233"/>
      <c r="D150" s="234" t="s">
        <v>1111</v>
      </c>
      <c r="E150" s="74">
        <v>100</v>
      </c>
      <c r="F150" s="238">
        <f t="shared" si="3"/>
        <v>33.333333333333336</v>
      </c>
      <c r="G150" s="74">
        <v>2002</v>
      </c>
      <c r="H150" s="74">
        <v>3</v>
      </c>
      <c r="I150" s="74">
        <v>17.063758</v>
      </c>
      <c r="J150" s="74">
        <v>74.284250999999998</v>
      </c>
      <c r="K150" s="224" t="s">
        <v>855</v>
      </c>
      <c r="L150" s="233"/>
      <c r="M150" s="74">
        <v>7.35</v>
      </c>
      <c r="N150" s="74">
        <v>91.8</v>
      </c>
      <c r="O150" s="74">
        <v>3.06</v>
      </c>
      <c r="P150" s="74">
        <v>943</v>
      </c>
      <c r="Q150" s="74">
        <v>1.1000000000000001E-3</v>
      </c>
      <c r="R150" s="74">
        <v>472</v>
      </c>
      <c r="S150" s="74">
        <v>0.46</v>
      </c>
      <c r="T150" s="74">
        <v>27.91</v>
      </c>
      <c r="U150" s="74">
        <v>336</v>
      </c>
      <c r="V150" s="235">
        <v>0.82</v>
      </c>
      <c r="W150" s="74">
        <v>249</v>
      </c>
      <c r="X150" s="74">
        <v>12.3</v>
      </c>
      <c r="Y150" s="236">
        <v>74.7</v>
      </c>
      <c r="Z150" s="74">
        <v>0</v>
      </c>
      <c r="AA150" s="74">
        <v>14.06</v>
      </c>
      <c r="AB150" s="74">
        <v>0.03</v>
      </c>
      <c r="AC150" s="233">
        <v>321.94</v>
      </c>
      <c r="AD150" s="74">
        <v>2.9999999999999997E-4</v>
      </c>
      <c r="AE150" s="74">
        <v>1.6999999999999999E-3</v>
      </c>
    </row>
    <row r="151" spans="1:31" ht="43.2" x14ac:dyDescent="0.3">
      <c r="A151" s="225">
        <v>108</v>
      </c>
      <c r="B151" s="211" t="s">
        <v>1112</v>
      </c>
      <c r="C151" s="211"/>
      <c r="D151" s="241" t="s">
        <v>1113</v>
      </c>
      <c r="E151" s="183">
        <v>100</v>
      </c>
      <c r="F151" s="190">
        <f t="shared" si="3"/>
        <v>33.333333333333336</v>
      </c>
      <c r="G151" s="183">
        <v>1999</v>
      </c>
      <c r="H151" s="183">
        <v>4</v>
      </c>
      <c r="I151" s="183">
        <v>17.072120000000002</v>
      </c>
      <c r="J151" s="183">
        <v>74.310411999999999</v>
      </c>
      <c r="K151" s="224" t="s">
        <v>1114</v>
      </c>
      <c r="L151" s="211"/>
      <c r="M151" s="183">
        <v>8.3000000000000007</v>
      </c>
      <c r="N151" s="183">
        <v>59</v>
      </c>
      <c r="O151" s="183">
        <v>3.85</v>
      </c>
      <c r="P151" s="183">
        <v>403</v>
      </c>
      <c r="Q151" s="183">
        <v>2.5000000000000001E-3</v>
      </c>
      <c r="R151" s="183">
        <v>201</v>
      </c>
      <c r="S151" s="183">
        <v>0.19</v>
      </c>
      <c r="T151" s="183">
        <v>27.65</v>
      </c>
      <c r="U151" s="183">
        <v>268</v>
      </c>
      <c r="V151" s="242">
        <v>0.33</v>
      </c>
      <c r="W151" s="183">
        <v>374</v>
      </c>
      <c r="X151" s="183">
        <v>14.4</v>
      </c>
      <c r="Y151" s="243">
        <v>80.5</v>
      </c>
      <c r="Z151" s="183">
        <v>0</v>
      </c>
      <c r="AA151" s="183">
        <v>25.38</v>
      </c>
      <c r="AB151" s="183">
        <v>0.28999999999999998</v>
      </c>
      <c r="AC151" s="211">
        <v>242.62</v>
      </c>
      <c r="AD151" s="183">
        <v>2.0000000000000001E-4</v>
      </c>
      <c r="AE151" s="183">
        <v>6.3E-3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Sheet1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 Sandip Sampatrao</dc:creator>
  <cp:lastModifiedBy>Sathe Sandip Sampatrao</cp:lastModifiedBy>
  <dcterms:created xsi:type="dcterms:W3CDTF">2025-12-18T04:23:13Z</dcterms:created>
  <dcterms:modified xsi:type="dcterms:W3CDTF">2026-06-23T10:06:46Z</dcterms:modified>
</cp:coreProperties>
</file>